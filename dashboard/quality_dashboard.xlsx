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1e6bf2b9f47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3a96333489745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0"/>
  </x:numFmts>
  <x:fonts count="9">
    <x:font>
      <x:sz val="11"/>
      <x:name val="Carlito"/>
    </x:font>
    <x:font>
      <x:b/>
      <x:sz val="20"/>
      <x:color rgb="FFFFFFFF"/>
      <x:name val="Carlito"/>
    </x:font>
    <x:font>
      <x:i/>
      <x:sz val="10"/>
      <x:color rgb="FF595959"/>
      <x:name val="Carlito"/>
    </x:font>
    <x:font>
      <x:b/>
      <x:sz val="10"/>
      <x:color rgb="FFFFFFFF"/>
      <x:name val="Carlito"/>
    </x:font>
    <x:font>
      <x:b/>
      <x:sz val="18"/>
      <x:color rgb="FF17365D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sz val="9"/>
      <x:name val="Carlito"/>
    </x:font>
    <x:font>
      <x:sz val="10"/>
      <x:color rgb="FF59595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FFF"/>
      </x:patternFill>
    </x:fill>
    <x:fill>
      <x:patternFill patternType="solid">
        <x:fgColor rgb="FF2F75B5"/>
      </x:patternFill>
    </x:fill>
    <x:fill>
      <x:patternFill patternType="solid">
        <x:fgColor rgb="FF2F8F9D"/>
      </x:patternFill>
    </x:fill>
    <x:fill>
      <x:patternFill patternType="solid">
        <x:fgColor rgb="FFFFC000"/>
      </x:patternFill>
    </x:fill>
    <x:fill>
      <x:patternFill patternType="solid">
        <x:fgColor rgb="FFC55A11"/>
      </x:patternFill>
    </x:fill>
    <x:fill>
      <x:patternFill patternType="solid">
        <x:fgColor rgb="FF8064A2"/>
      </x:patternFill>
    </x:fill>
    <x:fill>
      <x:patternFill patternType="solid">
        <x:fgColor rgb="FFE2F0D9"/>
      </x:patternFill>
    </x:fill>
  </x:fills>
  <x:borders count="41">
    <x:border/>
    <x:border>
      <x:left style="medium">
        <x:color rgb="FF2F75B5"/>
      </x:left>
      <x:top style="medium">
        <x:color rgb="FF2F75B5"/>
      </x:top>
    </x:border>
    <x:border>
      <x:top style="medium">
        <x:color rgb="FF2F75B5"/>
      </x:top>
    </x:border>
    <x:border>
      <x:right style="medium">
        <x:color rgb="FF2F75B5"/>
      </x:right>
      <x:top style="medium">
        <x:color rgb="FF2F75B5"/>
      </x:top>
    </x:border>
    <x:border>
      <x:left style="medium">
        <x:color rgb="FF2F75B5"/>
      </x:left>
    </x:border>
    <x:border>
      <x:right style="medium">
        <x:color rgb="FF2F75B5"/>
      </x:right>
    </x:border>
    <x:border>
      <x:left style="medium">
        <x:color rgb="FF2F75B5"/>
      </x:left>
      <x:bottom style="medium">
        <x:color rgb="FF2F75B5"/>
      </x:bottom>
    </x:border>
    <x:border>
      <x:bottom style="medium">
        <x:color rgb="FF2F75B5"/>
      </x:bottom>
    </x:border>
    <x:border>
      <x:right style="medium">
        <x:color rgb="FF2F75B5"/>
      </x:right>
      <x:bottom style="medium">
        <x:color rgb="FF2F75B5"/>
      </x:bottom>
    </x:border>
    <x:border>
      <x:left style="medium">
        <x:color rgb="FF2F8F9D"/>
      </x:left>
      <x:top style="medium">
        <x:color rgb="FF2F8F9D"/>
      </x:top>
    </x:border>
    <x:border>
      <x:top style="medium">
        <x:color rgb="FF2F8F9D"/>
      </x:top>
    </x:border>
    <x:border>
      <x:right style="medium">
        <x:color rgb="FF2F8F9D"/>
      </x:right>
      <x:top style="medium">
        <x:color rgb="FF2F8F9D"/>
      </x:top>
    </x:border>
    <x:border>
      <x:left style="medium">
        <x:color rgb="FF2F8F9D"/>
      </x:left>
    </x:border>
    <x:border>
      <x:right style="medium">
        <x:color rgb="FF2F8F9D"/>
      </x:right>
    </x:border>
    <x:border>
      <x:left style="medium">
        <x:color rgb="FF2F8F9D"/>
      </x:left>
      <x:bottom style="medium">
        <x:color rgb="FF2F8F9D"/>
      </x:bottom>
    </x:border>
    <x:border>
      <x:bottom style="medium">
        <x:color rgb="FF2F8F9D"/>
      </x:bottom>
    </x:border>
    <x:border>
      <x:right style="medium">
        <x:color rgb="FF2F8F9D"/>
      </x:right>
      <x:bottom style="medium">
        <x:color rgb="FF2F8F9D"/>
      </x:bottom>
    </x:border>
    <x:border>
      <x:left style="medium">
        <x:color rgb="FFFFC000"/>
      </x:left>
      <x:top style="medium">
        <x:color rgb="FFFFC000"/>
      </x:top>
    </x:border>
    <x:border>
      <x:top style="medium">
        <x:color rgb="FFFFC000"/>
      </x:top>
    </x:border>
    <x:border>
      <x:right style="medium">
        <x:color rgb="FFFFC000"/>
      </x:right>
      <x:top style="medium">
        <x:color rgb="FFFFC000"/>
      </x:top>
    </x:border>
    <x:border>
      <x:left style="medium">
        <x:color rgb="FFFFC000"/>
      </x:left>
    </x:border>
    <x:border>
      <x:right style="medium">
        <x:color rgb="FFFFC000"/>
      </x:right>
    </x:border>
    <x:border>
      <x:left style="medium">
        <x:color rgb="FFFFC000"/>
      </x:left>
      <x:bottom style="medium">
        <x:color rgb="FFFFC000"/>
      </x:bottom>
    </x:border>
    <x:border>
      <x:bottom style="medium">
        <x:color rgb="FFFFC000"/>
      </x:bottom>
    </x:border>
    <x:border>
      <x:right style="medium">
        <x:color rgb="FFFFC000"/>
      </x:right>
      <x:bottom style="medium">
        <x:color rgb="FFFFC000"/>
      </x:bottom>
    </x:border>
    <x:border>
      <x:left style="medium">
        <x:color rgb="FFC55A11"/>
      </x:left>
      <x:top style="medium">
        <x:color rgb="FFC55A11"/>
      </x:top>
    </x:border>
    <x:border>
      <x:top style="medium">
        <x:color rgb="FFC55A11"/>
      </x:top>
    </x:border>
    <x:border>
      <x:right style="medium">
        <x:color rgb="FFC55A11"/>
      </x:right>
      <x:top style="medium">
        <x:color rgb="FFC55A11"/>
      </x:top>
    </x:border>
    <x:border>
      <x:left style="medium">
        <x:color rgb="FFC55A11"/>
      </x:left>
    </x:border>
    <x:border>
      <x:right style="medium">
        <x:color rgb="FFC55A11"/>
      </x:right>
    </x:border>
    <x:border>
      <x:left style="medium">
        <x:color rgb="FFC55A11"/>
      </x:left>
      <x:bottom style="medium">
        <x:color rgb="FFC55A11"/>
      </x:bottom>
    </x:border>
    <x:border>
      <x:bottom style="medium">
        <x:color rgb="FFC55A11"/>
      </x:bottom>
    </x:border>
    <x:border>
      <x:right style="medium">
        <x:color rgb="FFC55A11"/>
      </x:right>
      <x:bottom style="medium">
        <x:color rgb="FFC55A11"/>
      </x:bottom>
    </x:border>
    <x:border>
      <x:left style="medium">
        <x:color rgb="FF8064A2"/>
      </x:left>
      <x:top style="medium">
        <x:color rgb="FF8064A2"/>
      </x:top>
    </x:border>
    <x:border>
      <x:right style="medium">
        <x:color rgb="FF8064A2"/>
      </x:right>
      <x:top style="medium">
        <x:color rgb="FF8064A2"/>
      </x:top>
    </x:border>
    <x:border>
      <x:left style="medium">
        <x:color rgb="FF8064A2"/>
      </x:left>
    </x:border>
    <x:border>
      <x:right style="medium">
        <x:color rgb="FF8064A2"/>
      </x:right>
    </x:border>
    <x:border>
      <x:left style="medium">
        <x:color rgb="FF8064A2"/>
      </x:left>
      <x:bottom style="medium">
        <x:color rgb="FF8064A2"/>
      </x:bottom>
    </x:border>
    <x:border>
      <x:right style="medium">
        <x:color rgb="FF8064A2"/>
      </x:right>
      <x:bottom style="medium">
        <x:color rgb="FF8064A2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5" borderId="1" xfId="0" applyNumberFormat="1" applyFont="1" applyFill="1" applyBorder="1"/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3" fillId="5" borderId="1" xfId="0" applyNumberFormat="1" applyFont="1" applyFill="1" applyBorder="1"/>
    <x:xf numFmtId="0" fontId="3" fillId="5" borderId="2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3" fillId="5" borderId="2" xfId="0" applyNumberFormat="1" applyFont="1" applyFill="1" applyBorder="1" applyAlignment="1">
      <x:alignment horizontal="center" vertical="center"/>
    </x:xf>
    <x:xf numFmtId="0" fontId="3" fillId="5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/>
    <x:xf numFmtId="0" fontId="4" fillId="4" borderId="0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7" xfId="0" applyNumberFormat="1" applyFont="1" applyFill="1" applyBorder="1" applyAlignment="1">
      <x:alignment horizontal="center"/>
    </x:xf>
    <x:xf numFmtId="0" fontId="4" fillId="4" borderId="8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4" fillId="4" borderId="7" xfId="0" applyNumberFormat="1" applyFont="1" applyFill="1" applyBorder="1" applyAlignment="1">
      <x:alignment horizontal="center" vertical="center"/>
    </x:xf>
    <x:xf numFmtId="0" fontId="4" fillId="4" borderId="8" xfId="0" applyNumberFormat="1" applyFont="1" applyFill="1" applyBorder="1" applyAlignment="1">
      <x:alignment horizontal="center" vertical="center"/>
    </x:xf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0" fontId="0" fillId="4" borderId="11" xfId="0" applyNumberFormat="1" applyFont="1" applyFill="1" applyBorder="1"/>
    <x:xf numFmtId="0" fontId="0" fillId="4" borderId="12" xfId="0" applyNumberFormat="1" applyFont="1" applyFill="1" applyBorder="1"/>
    <x:xf numFmtId="0" fontId="0" fillId="4" borderId="13" xfId="0" applyNumberFormat="1" applyFont="1" applyFill="1" applyBorder="1"/>
    <x:xf numFmtId="0" fontId="0" fillId="4" borderId="14" xfId="0" applyNumberFormat="1" applyFont="1" applyFill="1" applyBorder="1"/>
    <x:xf numFmtId="0" fontId="0" fillId="4" borderId="15" xfId="0" applyNumberFormat="1" applyFont="1" applyFill="1" applyBorder="1"/>
    <x:xf numFmtId="0" fontId="0" fillId="4" borderId="16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3" fillId="6" borderId="9" xfId="0" applyNumberFormat="1" applyFont="1" applyFill="1" applyBorder="1"/>
    <x:xf numFmtId="0" fontId="3" fillId="6" borderId="10" xfId="0" applyNumberFormat="1" applyFont="1" applyFill="1" applyBorder="1"/>
    <x:xf numFmtId="0" fontId="3" fillId="6" borderId="11" xfId="0" applyNumberFormat="1" applyFont="1" applyFill="1" applyBorder="1"/>
    <x:xf numFmtId="0" fontId="3" fillId="6" borderId="9" xfId="0" applyNumberFormat="1" applyFont="1" applyFill="1" applyBorder="1" applyAlignment="1">
      <x:alignment horizontal="center"/>
    </x:xf>
    <x:xf numFmtId="0" fontId="3" fillId="6" borderId="10" xfId="0" applyNumberFormat="1" applyFont="1" applyFill="1" applyBorder="1" applyAlignment="1">
      <x:alignment horizontal="center"/>
    </x:xf>
    <x:xf numFmtId="0" fontId="3" fillId="6" borderId="11" xfId="0" applyNumberFormat="1" applyFont="1" applyFill="1" applyBorder="1" applyAlignment="1">
      <x:alignment horizontal="center"/>
    </x:xf>
    <x:xf numFmtId="0" fontId="3" fillId="6" borderId="9" xfId="0" applyNumberFormat="1" applyFont="1" applyFill="1" applyBorder="1" applyAlignment="1">
      <x:alignment horizontal="center" vertical="center"/>
    </x:xf>
    <x:xf numFmtId="0" fontId="3" fillId="6" borderId="10" xfId="0" applyNumberFormat="1" applyFont="1" applyFill="1" applyBorder="1" applyAlignment="1">
      <x:alignment horizontal="center" vertical="center"/>
    </x:xf>
    <x:xf numFmtId="0" fontId="3" fillId="6" borderId="11" xfId="0" applyNumberFormat="1" applyFont="1" applyFill="1" applyBorder="1" applyAlignment="1">
      <x:alignment horizontal="center" vertical="center"/>
    </x:xf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4" xfId="0" applyNumberFormat="1" applyFont="1" applyFill="1" applyBorder="1"/>
    <x:xf numFmtId="0" fontId="4" fillId="4" borderId="15" xfId="0" applyNumberFormat="1" applyFont="1" applyFill="1" applyBorder="1"/>
    <x:xf numFmtId="0" fontId="4" fillId="4" borderId="16" xfId="0" applyNumberFormat="1" applyFont="1" applyFill="1" applyBorder="1"/>
    <x:xf numFmtId="0" fontId="4" fillId="4" borderId="12" xfId="0" applyNumberFormat="1" applyFont="1" applyFill="1" applyBorder="1" applyAlignment="1">
      <x:alignment horizontal="center"/>
    </x:xf>
    <x:xf numFmtId="0" fontId="4" fillId="4" borderId="13" xfId="0" applyNumberFormat="1" applyFont="1" applyFill="1" applyBorder="1" applyAlignment="1">
      <x:alignment horizontal="center"/>
    </x:xf>
    <x:xf numFmtId="0" fontId="4" fillId="4" borderId="14" xfId="0" applyNumberFormat="1" applyFont="1" applyFill="1" applyBorder="1" applyAlignment="1">
      <x:alignment horizontal="center"/>
    </x:xf>
    <x:xf numFmtId="0" fontId="4" fillId="4" borderId="15" xfId="0" applyNumberFormat="1" applyFont="1" applyFill="1" applyBorder="1" applyAlignment="1">
      <x:alignment horizontal="center"/>
    </x:xf>
    <x:xf numFmtId="0" fontId="4" fillId="4" borderId="16" xfId="0" applyNumberFormat="1" applyFont="1" applyFill="1" applyBorder="1" applyAlignment="1">
      <x:alignment horizontal="center"/>
    </x:xf>
    <x:xf numFmtId="0" fontId="4" fillId="4" borderId="12" xfId="0" applyNumberFormat="1" applyFont="1" applyFill="1" applyBorder="1" applyAlignment="1">
      <x:alignment horizontal="center" vertical="center"/>
    </x:xf>
    <x:xf numFmtId="0" fontId="4" fillId="4" borderId="13" xfId="0" applyNumberFormat="1" applyFont="1" applyFill="1" applyBorder="1" applyAlignment="1">
      <x:alignment horizontal="center" vertical="center"/>
    </x:xf>
    <x:xf numFmtId="0" fontId="4" fillId="4" borderId="14" xfId="0" applyNumberFormat="1" applyFont="1" applyFill="1" applyBorder="1" applyAlignment="1">
      <x:alignment horizontal="center" vertical="center"/>
    </x:xf>
    <x:xf numFmtId="0" fontId="4" fillId="4" borderId="15" xfId="0" applyNumberFormat="1" applyFont="1" applyFill="1" applyBorder="1" applyAlignment="1">
      <x:alignment horizontal="center" vertical="center"/>
    </x:xf>
    <x:xf numFmtId="0" fontId="4" fillId="4" borderId="16" xfId="0" applyNumberFormat="1" applyFont="1" applyFill="1" applyBorder="1" applyAlignment="1">
      <x:alignment horizontal="center" vertical="center"/>
    </x:xf>
    <x:xf numFmtId="0" fontId="0" fillId="4" borderId="17" xfId="0" applyNumberFormat="1" applyFont="1" applyFill="1" applyBorder="1"/>
    <x:xf numFmtId="0" fontId="0" fillId="4" borderId="18" xfId="0" applyNumberFormat="1" applyFont="1" applyFill="1" applyBorder="1"/>
    <x:xf numFmtId="0" fontId="0" fillId="4" borderId="19" xfId="0" applyNumberFormat="1" applyFont="1" applyFill="1" applyBorder="1"/>
    <x:xf numFmtId="0" fontId="0" fillId="4" borderId="20" xfId="0" applyNumberFormat="1" applyFont="1" applyFill="1" applyBorder="1"/>
    <x:xf numFmtId="0" fontId="0" fillId="4" borderId="21" xfId="0" applyNumberFormat="1" applyFont="1" applyFill="1" applyBorder="1"/>
    <x:xf numFmtId="0" fontId="0" fillId="4" borderId="22" xfId="0" applyNumberFormat="1" applyFont="1" applyFill="1" applyBorder="1"/>
    <x:xf numFmtId="0" fontId="0" fillId="4" borderId="23" xfId="0" applyNumberFormat="1" applyFont="1" applyFill="1" applyBorder="1"/>
    <x:xf numFmtId="0" fontId="0" fillId="4" borderId="24" xfId="0" applyNumberFormat="1" applyFont="1" applyFill="1" applyBorder="1"/>
    <x:xf numFmtId="0" fontId="0" fillId="7" borderId="17" xfId="0" applyNumberFormat="1" applyFont="1" applyFill="1" applyBorder="1"/>
    <x:xf numFmtId="0" fontId="0" fillId="7" borderId="18" xfId="0" applyNumberFormat="1" applyFont="1" applyFill="1" applyBorder="1"/>
    <x:xf numFmtId="0" fontId="0" fillId="7" borderId="19" xfId="0" applyNumberFormat="1" applyFont="1" applyFill="1" applyBorder="1"/>
    <x:xf numFmtId="0" fontId="3" fillId="7" borderId="17" xfId="0" applyNumberFormat="1" applyFont="1" applyFill="1" applyBorder="1"/>
    <x:xf numFmtId="0" fontId="3" fillId="7" borderId="18" xfId="0" applyNumberFormat="1" applyFont="1" applyFill="1" applyBorder="1"/>
    <x:xf numFmtId="0" fontId="3" fillId="7" borderId="19" xfId="0" applyNumberFormat="1" applyFont="1" applyFill="1" applyBorder="1"/>
    <x:xf numFmtId="0" fontId="3" fillId="7" borderId="17" xfId="0" applyNumberFormat="1" applyFont="1" applyFill="1" applyBorder="1" applyAlignment="1">
      <x:alignment horizontal="center"/>
    </x:xf>
    <x:xf numFmtId="0" fontId="3" fillId="7" borderId="18" xfId="0" applyNumberFormat="1" applyFont="1" applyFill="1" applyBorder="1" applyAlignment="1">
      <x:alignment horizontal="center"/>
    </x:xf>
    <x:xf numFmtId="0" fontId="3" fillId="7" borderId="19" xfId="0" applyNumberFormat="1" applyFont="1" applyFill="1" applyBorder="1" applyAlignment="1">
      <x:alignment horizontal="center"/>
    </x:xf>
    <x:xf numFmtId="0" fontId="3" fillId="7" borderId="17" xfId="0" applyNumberFormat="1" applyFont="1" applyFill="1" applyBorder="1" applyAlignment="1">
      <x:alignment horizontal="center" vertical="center"/>
    </x:xf>
    <x:xf numFmtId="0" fontId="3" fillId="7" borderId="18" xfId="0" applyNumberFormat="1" applyFont="1" applyFill="1" applyBorder="1" applyAlignment="1">
      <x:alignment horizontal="center" vertical="center"/>
    </x:xf>
    <x:xf numFmtId="0" fontId="3" fillId="7" borderId="19" xfId="0" applyNumberFormat="1" applyFont="1" applyFill="1" applyBorder="1" applyAlignment="1">
      <x:alignment horizontal="center" vertical="center"/>
    </x:xf>
    <x:xf numFmtId="0" fontId="4" fillId="4" borderId="20" xfId="0" applyNumberFormat="1" applyFont="1" applyFill="1" applyBorder="1"/>
    <x:xf numFmtId="0" fontId="4" fillId="4" borderId="21" xfId="0" applyNumberFormat="1" applyFont="1" applyFill="1" applyBorder="1"/>
    <x:xf numFmtId="0" fontId="4" fillId="4" borderId="22" xfId="0" applyNumberFormat="1" applyFont="1" applyFill="1" applyBorder="1"/>
    <x:xf numFmtId="0" fontId="4" fillId="4" borderId="23" xfId="0" applyNumberFormat="1" applyFont="1" applyFill="1" applyBorder="1"/>
    <x:xf numFmtId="0" fontId="4" fillId="4" borderId="24" xfId="0" applyNumberFormat="1" applyFont="1" applyFill="1" applyBorder="1"/>
    <x:xf numFmtId="0" fontId="4" fillId="4" borderId="20" xfId="0" applyNumberFormat="1" applyFont="1" applyFill="1" applyBorder="1" applyAlignment="1">
      <x:alignment horizontal="center"/>
    </x:xf>
    <x:xf numFmtId="0" fontId="4" fillId="4" borderId="21" xfId="0" applyNumberFormat="1" applyFont="1" applyFill="1" applyBorder="1" applyAlignment="1">
      <x:alignment horizontal="center"/>
    </x:xf>
    <x:xf numFmtId="0" fontId="4" fillId="4" borderId="22" xfId="0" applyNumberFormat="1" applyFont="1" applyFill="1" applyBorder="1" applyAlignment="1">
      <x:alignment horizontal="center"/>
    </x:xf>
    <x:xf numFmtId="0" fontId="4" fillId="4" borderId="23" xfId="0" applyNumberFormat="1" applyFont="1" applyFill="1" applyBorder="1" applyAlignment="1">
      <x:alignment horizontal="center"/>
    </x:xf>
    <x:xf numFmtId="0" fontId="4" fillId="4" borderId="24" xfId="0" applyNumberFormat="1" applyFont="1" applyFill="1" applyBorder="1" applyAlignment="1">
      <x:alignment horizontal="center"/>
    </x:xf>
    <x:xf numFmtId="0" fontId="4" fillId="4" borderId="20" xfId="0" applyNumberFormat="1" applyFont="1" applyFill="1" applyBorder="1" applyAlignment="1">
      <x:alignment horizontal="center" vertical="center"/>
    </x:xf>
    <x:xf numFmtId="0" fontId="4" fillId="4" borderId="21" xfId="0" applyNumberFormat="1" applyFont="1" applyFill="1" applyBorder="1" applyAlignment="1">
      <x:alignment horizontal="center" vertical="center"/>
    </x:xf>
    <x:xf numFmtId="0" fontId="4" fillId="4" borderId="22" xfId="0" applyNumberFormat="1" applyFont="1" applyFill="1" applyBorder="1" applyAlignment="1">
      <x:alignment horizontal="center" vertical="center"/>
    </x:xf>
    <x:xf numFmtId="0" fontId="4" fillId="4" borderId="23" xfId="0" applyNumberFormat="1" applyFont="1" applyFill="1" applyBorder="1" applyAlignment="1">
      <x:alignment horizontal="center" vertical="center"/>
    </x:xf>
    <x:xf numFmtId="0" fontId="4" fillId="4" borderId="24" xfId="0" applyNumberFormat="1" applyFont="1" applyFill="1" applyBorder="1" applyAlignment="1">
      <x:alignment horizontal="center" vertical="center"/>
    </x:xf>
    <x:xf numFmtId="0" fontId="0" fillId="4" borderId="25" xfId="0" applyNumberFormat="1" applyFont="1" applyFill="1" applyBorder="1"/>
    <x:xf numFmtId="0" fontId="0" fillId="4" borderId="26" xfId="0" applyNumberFormat="1" applyFont="1" applyFill="1" applyBorder="1"/>
    <x:xf numFmtId="0" fontId="0" fillId="4" borderId="27" xfId="0" applyNumberFormat="1" applyFont="1" applyFill="1" applyBorder="1"/>
    <x:xf numFmtId="0" fontId="0" fillId="4" borderId="28" xfId="0" applyNumberFormat="1" applyFont="1" applyFill="1" applyBorder="1"/>
    <x:xf numFmtId="0" fontId="0" fillId="4" borderId="29" xfId="0" applyNumberFormat="1" applyFont="1" applyFill="1" applyBorder="1"/>
    <x:xf numFmtId="0" fontId="0" fillId="4" borderId="30" xfId="0" applyNumberFormat="1" applyFont="1" applyFill="1" applyBorder="1"/>
    <x:xf numFmtId="0" fontId="0" fillId="4" borderId="31" xfId="0" applyNumberFormat="1" applyFont="1" applyFill="1" applyBorder="1"/>
    <x:xf numFmtId="0" fontId="0" fillId="4" borderId="32" xfId="0" applyNumberFormat="1" applyFont="1" applyFill="1" applyBorder="1"/>
    <x:xf numFmtId="0" fontId="0" fillId="8" borderId="25" xfId="0" applyNumberFormat="1" applyFont="1" applyFill="1" applyBorder="1"/>
    <x:xf numFmtId="0" fontId="0" fillId="8" borderId="26" xfId="0" applyNumberFormat="1" applyFont="1" applyFill="1" applyBorder="1"/>
    <x:xf numFmtId="0" fontId="0" fillId="8" borderId="27" xfId="0" applyNumberFormat="1" applyFont="1" applyFill="1" applyBorder="1"/>
    <x:xf numFmtId="0" fontId="3" fillId="8" borderId="25" xfId="0" applyNumberFormat="1" applyFont="1" applyFill="1" applyBorder="1"/>
    <x:xf numFmtId="0" fontId="3" fillId="8" borderId="26" xfId="0" applyNumberFormat="1" applyFont="1" applyFill="1" applyBorder="1"/>
    <x:xf numFmtId="0" fontId="3" fillId="8" borderId="27" xfId="0" applyNumberFormat="1" applyFont="1" applyFill="1" applyBorder="1"/>
    <x:xf numFmtId="0" fontId="3" fillId="8" borderId="25" xfId="0" applyNumberFormat="1" applyFont="1" applyFill="1" applyBorder="1" applyAlignment="1">
      <x:alignment horizontal="center"/>
    </x:xf>
    <x:xf numFmtId="0" fontId="3" fillId="8" borderId="26" xfId="0" applyNumberFormat="1" applyFont="1" applyFill="1" applyBorder="1" applyAlignment="1">
      <x:alignment horizontal="center"/>
    </x:xf>
    <x:xf numFmtId="0" fontId="3" fillId="8" borderId="27" xfId="0" applyNumberFormat="1" applyFont="1" applyFill="1" applyBorder="1" applyAlignment="1">
      <x:alignment horizontal="center"/>
    </x:xf>
    <x:xf numFmtId="0" fontId="3" fillId="8" borderId="25" xfId="0" applyNumberFormat="1" applyFont="1" applyFill="1" applyBorder="1" applyAlignment="1">
      <x:alignment horizontal="center" vertical="center"/>
    </x:xf>
    <x:xf numFmtId="0" fontId="3" fillId="8" borderId="26" xfId="0" applyNumberFormat="1" applyFont="1" applyFill="1" applyBorder="1" applyAlignment="1">
      <x:alignment horizontal="center" vertical="center"/>
    </x:xf>
    <x:xf numFmtId="0" fontId="3" fillId="8" borderId="27" xfId="0" applyNumberFormat="1" applyFont="1" applyFill="1" applyBorder="1" applyAlignment="1">
      <x:alignment horizontal="center" vertical="center"/>
    </x:xf>
    <x:xf numFmtId="0" fontId="4" fillId="4" borderId="28" xfId="0" applyNumberFormat="1" applyFont="1" applyFill="1" applyBorder="1"/>
    <x:xf numFmtId="0" fontId="4" fillId="4" borderId="29" xfId="0" applyNumberFormat="1" applyFont="1" applyFill="1" applyBorder="1"/>
    <x:xf numFmtId="0" fontId="4" fillId="4" borderId="30" xfId="0" applyNumberFormat="1" applyFont="1" applyFill="1" applyBorder="1"/>
    <x:xf numFmtId="0" fontId="4" fillId="4" borderId="31" xfId="0" applyNumberFormat="1" applyFont="1" applyFill="1" applyBorder="1"/>
    <x:xf numFmtId="0" fontId="4" fillId="4" borderId="32" xfId="0" applyNumberFormat="1" applyFont="1" applyFill="1" applyBorder="1"/>
    <x:xf numFmtId="0" fontId="4" fillId="4" borderId="28" xfId="0" applyNumberFormat="1" applyFont="1" applyFill="1" applyBorder="1" applyAlignment="1">
      <x:alignment horizontal="center"/>
    </x:xf>
    <x:xf numFmtId="0" fontId="4" fillId="4" borderId="29" xfId="0" applyNumberFormat="1" applyFont="1" applyFill="1" applyBorder="1" applyAlignment="1">
      <x:alignment horizontal="center"/>
    </x:xf>
    <x:xf numFmtId="0" fontId="4" fillId="4" borderId="30" xfId="0" applyNumberFormat="1" applyFont="1" applyFill="1" applyBorder="1" applyAlignment="1">
      <x:alignment horizontal="center"/>
    </x:xf>
    <x:xf numFmtId="0" fontId="4" fillId="4" borderId="31" xfId="0" applyNumberFormat="1" applyFont="1" applyFill="1" applyBorder="1" applyAlignment="1">
      <x:alignment horizontal="center"/>
    </x:xf>
    <x:xf numFmtId="0" fontId="4" fillId="4" borderId="32" xfId="0" applyNumberFormat="1" applyFont="1" applyFill="1" applyBorder="1" applyAlignment="1">
      <x:alignment horizontal="center"/>
    </x:xf>
    <x:xf numFmtId="0" fontId="4" fillId="4" borderId="28" xfId="0" applyNumberFormat="1" applyFont="1" applyFill="1" applyBorder="1" applyAlignment="1">
      <x:alignment horizontal="center" vertical="center"/>
    </x:xf>
    <x:xf numFmtId="0" fontId="4" fillId="4" borderId="29" xfId="0" applyNumberFormat="1" applyFont="1" applyFill="1" applyBorder="1" applyAlignment="1">
      <x:alignment horizontal="center" vertical="center"/>
    </x:xf>
    <x:xf numFmtId="0" fontId="4" fillId="4" borderId="30" xfId="0" applyNumberFormat="1" applyFont="1" applyFill="1" applyBorder="1" applyAlignment="1">
      <x:alignment horizontal="center" vertical="center"/>
    </x:xf>
    <x:xf numFmtId="0" fontId="4" fillId="4" borderId="31" xfId="0" applyNumberFormat="1" applyFont="1" applyFill="1" applyBorder="1" applyAlignment="1">
      <x:alignment horizontal="center" vertical="center"/>
    </x:xf>
    <x:xf numFmtId="0" fontId="4" fillId="4" borderId="32" xfId="0" applyNumberFormat="1" applyFont="1" applyFill="1" applyBorder="1" applyAlignment="1">
      <x:alignment horizontal="center" vertical="center"/>
    </x:xf>
    <x:xf numFmtId="0" fontId="0" fillId="4" borderId="33" xfId="0" applyNumberFormat="1" applyFont="1" applyFill="1" applyBorder="1"/>
    <x:xf numFmtId="0" fontId="0" fillId="4" borderId="34" xfId="0" applyNumberFormat="1" applyFont="1" applyFill="1" applyBorder="1"/>
    <x:xf numFmtId="0" fontId="0" fillId="4" borderId="35" xfId="0" applyNumberFormat="1" applyFont="1" applyFill="1" applyBorder="1"/>
    <x:xf numFmtId="0" fontId="0" fillId="4" borderId="36" xfId="0" applyNumberFormat="1" applyFont="1" applyFill="1" applyBorder="1"/>
    <x:xf numFmtId="0" fontId="0" fillId="4" borderId="37" xfId="0" applyNumberFormat="1" applyFont="1" applyFill="1" applyBorder="1"/>
    <x:xf numFmtId="0" fontId="0" fillId="4" borderId="38" xfId="0" applyNumberFormat="1" applyFont="1" applyFill="1" applyBorder="1"/>
    <x:xf numFmtId="0" fontId="0" fillId="9" borderId="33" xfId="0" applyNumberFormat="1" applyFont="1" applyFill="1" applyBorder="1"/>
    <x:xf numFmtId="0" fontId="0" fillId="9" borderId="34" xfId="0" applyNumberFormat="1" applyFont="1" applyFill="1" applyBorder="1"/>
    <x:xf numFmtId="0" fontId="3" fillId="9" borderId="33" xfId="0" applyNumberFormat="1" applyFont="1" applyFill="1" applyBorder="1"/>
    <x:xf numFmtId="0" fontId="3" fillId="9" borderId="34" xfId="0" applyNumberFormat="1" applyFont="1" applyFill="1" applyBorder="1"/>
    <x:xf numFmtId="0" fontId="3" fillId="9" borderId="33" xfId="0" applyNumberFormat="1" applyFont="1" applyFill="1" applyBorder="1" applyAlignment="1">
      <x:alignment horizontal="center"/>
    </x:xf>
    <x:xf numFmtId="0" fontId="3" fillId="9" borderId="34" xfId="0" applyNumberFormat="1" applyFont="1" applyFill="1" applyBorder="1" applyAlignment="1">
      <x:alignment horizontal="center"/>
    </x:xf>
    <x:xf numFmtId="0" fontId="3" fillId="9" borderId="33" xfId="0" applyNumberFormat="1" applyFont="1" applyFill="1" applyBorder="1" applyAlignment="1">
      <x:alignment horizontal="center" vertical="center"/>
    </x:xf>
    <x:xf numFmtId="0" fontId="3" fillId="9" borderId="34" xfId="0" applyNumberFormat="1" applyFont="1" applyFill="1" applyBorder="1" applyAlignment="1">
      <x:alignment horizontal="center" vertical="center"/>
    </x:xf>
    <x:xf numFmtId="0" fontId="4" fillId="4" borderId="35" xfId="0" applyNumberFormat="1" applyFont="1" applyFill="1" applyBorder="1"/>
    <x:xf numFmtId="0" fontId="4" fillId="4" borderId="36" xfId="0" applyNumberFormat="1" applyFont="1" applyFill="1" applyBorder="1"/>
    <x:xf numFmtId="0" fontId="4" fillId="4" borderId="37" xfId="0" applyNumberFormat="1" applyFont="1" applyFill="1" applyBorder="1"/>
    <x:xf numFmtId="0" fontId="4" fillId="4" borderId="38" xfId="0" applyNumberFormat="1" applyFont="1" applyFill="1" applyBorder="1"/>
    <x:xf numFmtId="0" fontId="4" fillId="4" borderId="35" xfId="0" applyNumberFormat="1" applyFont="1" applyFill="1" applyBorder="1" applyAlignment="1">
      <x:alignment horizontal="center"/>
    </x:xf>
    <x:xf numFmtId="0" fontId="4" fillId="4" borderId="36" xfId="0" applyNumberFormat="1" applyFont="1" applyFill="1" applyBorder="1" applyAlignment="1">
      <x:alignment horizontal="center"/>
    </x:xf>
    <x:xf numFmtId="0" fontId="4" fillId="4" borderId="37" xfId="0" applyNumberFormat="1" applyFont="1" applyFill="1" applyBorder="1" applyAlignment="1">
      <x:alignment horizontal="center"/>
    </x:xf>
    <x:xf numFmtId="0" fontId="4" fillId="4" borderId="38" xfId="0" applyNumberFormat="1" applyFont="1" applyFill="1" applyBorder="1" applyAlignment="1">
      <x:alignment horizontal="center"/>
    </x:xf>
    <x:xf numFmtId="0" fontId="4" fillId="4" borderId="35" xfId="0" applyNumberFormat="1" applyFont="1" applyFill="1" applyBorder="1" applyAlignment="1">
      <x:alignment horizontal="center" vertical="center"/>
    </x:xf>
    <x:xf numFmtId="0" fontId="4" fillId="4" borderId="36" xfId="0" applyNumberFormat="1" applyFont="1" applyFill="1" applyBorder="1" applyAlignment="1">
      <x:alignment horizontal="center" vertical="center"/>
    </x:xf>
    <x:xf numFmtId="0" fontId="4" fillId="4" borderId="37" xfId="0" applyNumberFormat="1" applyFont="1" applyFill="1" applyBorder="1" applyAlignment="1">
      <x:alignment horizontal="center" vertical="center"/>
    </x:xf>
    <x:xf numFmtId="0" fontId="4" fillId="4" borderId="38" xfId="0" applyNumberFormat="1" applyFont="1" applyFill="1" applyBorder="1" applyAlignment="1">
      <x:alignment horizontal="center" vertical="center"/>
    </x:xf>
    <x:xf numFmtId="200" fontId="4" fillId="4" borderId="4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200" fontId="4" fillId="4" borderId="5" xfId="0" applyNumberFormat="1" applyFont="1" applyFill="1" applyBorder="1" applyAlignment="1">
      <x:alignment horizontal="center" vertical="center"/>
    </x:xf>
    <x:xf numFmtId="200" fontId="4" fillId="4" borderId="6" xfId="0" applyNumberFormat="1" applyFont="1" applyFill="1" applyBorder="1" applyAlignment="1">
      <x:alignment horizontal="center" vertical="center"/>
    </x:xf>
    <x:xf numFmtId="200" fontId="4" fillId="4" borderId="7" xfId="0" applyNumberFormat="1" applyFont="1" applyFill="1" applyBorder="1" applyAlignment="1">
      <x:alignment horizontal="center" vertical="center"/>
    </x:xf>
    <x:xf numFmtId="200" fontId="4" fillId="4" borderId="8" xfId="0" applyNumberFormat="1" applyFont="1" applyFill="1" applyBorder="1" applyAlignment="1">
      <x:alignment horizontal="center" vertical="center"/>
    </x:xf>
    <x:xf numFmtId="201" fontId="4" fillId="4" borderId="12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201" fontId="4" fillId="4" borderId="13" xfId="0" applyNumberFormat="1" applyFont="1" applyFill="1" applyBorder="1" applyAlignment="1">
      <x:alignment horizontal="center" vertical="center"/>
    </x:xf>
    <x:xf numFmtId="201" fontId="4" fillId="4" borderId="14" xfId="0" applyNumberFormat="1" applyFont="1" applyFill="1" applyBorder="1" applyAlignment="1">
      <x:alignment horizontal="center" vertical="center"/>
    </x:xf>
    <x:xf numFmtId="201" fontId="4" fillId="4" borderId="15" xfId="0" applyNumberFormat="1" applyFont="1" applyFill="1" applyBorder="1" applyAlignment="1">
      <x:alignment horizontal="center" vertical="center"/>
    </x:xf>
    <x:xf numFmtId="201" fontId="4" fillId="4" borderId="16" xfId="0" applyNumberFormat="1" applyFont="1" applyFill="1" applyBorder="1" applyAlignment="1">
      <x:alignment horizontal="center" vertical="center"/>
    </x:xf>
    <x:xf numFmtId="202" fontId="4" fillId="4" borderId="20" xfId="0" applyNumberFormat="1" applyFont="1" applyFill="1" applyBorder="1" applyAlignment="1">
      <x:alignment horizontal="center" vertical="center"/>
    </x:xf>
    <x:xf numFmtId="202" fontId="4" fillId="4" borderId="0" xfId="0" applyNumberFormat="1" applyFont="1" applyFill="1" applyBorder="1" applyAlignment="1">
      <x:alignment horizontal="center" vertical="center"/>
    </x:xf>
    <x:xf numFmtId="202" fontId="4" fillId="4" borderId="21" xfId="0" applyNumberFormat="1" applyFont="1" applyFill="1" applyBorder="1" applyAlignment="1">
      <x:alignment horizontal="center" vertical="center"/>
    </x:xf>
    <x:xf numFmtId="202" fontId="4" fillId="4" borderId="22" xfId="0" applyNumberFormat="1" applyFont="1" applyFill="1" applyBorder="1" applyAlignment="1">
      <x:alignment horizontal="center" vertical="center"/>
    </x:xf>
    <x:xf numFmtId="202" fontId="4" fillId="4" borderId="23" xfId="0" applyNumberFormat="1" applyFont="1" applyFill="1" applyBorder="1" applyAlignment="1">
      <x:alignment horizontal="center" vertical="center"/>
    </x:xf>
    <x:xf numFmtId="202" fontId="4" fillId="4" borderId="24" xfId="0" applyNumberFormat="1" applyFont="1" applyFill="1" applyBorder="1" applyAlignment="1">
      <x:alignment horizontal="center" vertical="center"/>
    </x:xf>
    <x:xf numFmtId="202" fontId="4" fillId="4" borderId="28" xfId="0" applyNumberFormat="1" applyFont="1" applyFill="1" applyBorder="1" applyAlignment="1">
      <x:alignment horizontal="center" vertical="center"/>
    </x:xf>
    <x:xf numFmtId="202" fontId="4" fillId="4" borderId="29" xfId="0" applyNumberFormat="1" applyFont="1" applyFill="1" applyBorder="1" applyAlignment="1">
      <x:alignment horizontal="center" vertical="center"/>
    </x:xf>
    <x:xf numFmtId="202" fontId="4" fillId="4" borderId="30" xfId="0" applyNumberFormat="1" applyFont="1" applyFill="1" applyBorder="1" applyAlignment="1">
      <x:alignment horizontal="center" vertical="center"/>
    </x:xf>
    <x:xf numFmtId="202" fontId="4" fillId="4" borderId="31" xfId="0" applyNumberFormat="1" applyFont="1" applyFill="1" applyBorder="1" applyAlignment="1">
      <x:alignment horizontal="center" vertical="center"/>
    </x:xf>
    <x:xf numFmtId="202" fontId="4" fillId="4" borderId="32" xfId="0" applyNumberFormat="1" applyFont="1" applyFill="1" applyBorder="1" applyAlignment="1">
      <x:alignment horizontal="center" vertical="center"/>
    </x:xf>
    <x:xf numFmtId="200" fontId="4" fillId="4" borderId="35" xfId="0" applyNumberFormat="1" applyFont="1" applyFill="1" applyBorder="1" applyAlignment="1">
      <x:alignment horizontal="center" vertical="center"/>
    </x:xf>
    <x:xf numFmtId="200" fontId="4" fillId="4" borderId="36" xfId="0" applyNumberFormat="1" applyFont="1" applyFill="1" applyBorder="1" applyAlignment="1">
      <x:alignment horizontal="center" vertical="center"/>
    </x:xf>
    <x:xf numFmtId="200" fontId="4" fillId="4" borderId="37" xfId="0" applyNumberFormat="1" applyFont="1" applyFill="1" applyBorder="1" applyAlignment="1">
      <x:alignment horizontal="center" vertical="center"/>
    </x:xf>
    <x:xf numFmtId="200" fontId="4" fillId="4" borderId="38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9" xfId="0" applyNumberFormat="1" applyFont="1" applyFill="1" applyBorder="1"/>
    <x:xf numFmtId="0" fontId="5" fillId="5" borderId="39" xfId="0" applyNumberFormat="1" applyFont="1" applyFill="1" applyBorder="1" applyAlignment="1">
      <x:alignment horizontal="center"/>
    </x:xf>
    <x:xf numFmtId="0" fontId="0" fillId="0" borderId="40" xfId="0" applyNumberFormat="1" applyFont="1" applyFill="1" applyBorder="1"/>
    <x:xf numFmtId="202" fontId="0" fillId="0" borderId="40" xfId="0" applyNumberFormat="1" applyFont="1" applyFill="1" applyBorder="1"/>
    <x:xf numFmtId="200" fontId="0" fillId="0" borderId="40" xfId="0" applyNumberFormat="1" applyFont="1" applyFill="1" applyBorder="1"/>
    <x:xf numFmtId="201" fontId="0" fillId="0" borderId="40" xfId="0" applyNumberFormat="1" applyFont="1" applyFill="1" applyBorder="1"/>
    <x:xf numFmtId="0" fontId="0" fillId="5" borderId="40" xfId="0" applyNumberFormat="1" applyFont="1" applyFill="1" applyBorder="1"/>
    <x:xf numFmtId="0" fontId="5" fillId="5" borderId="40" xfId="0" applyNumberFormat="1" applyFont="1" applyFill="1" applyBorder="1"/>
    <x:xf numFmtId="0" fontId="5" fillId="5" borderId="40" xfId="0" applyNumberFormat="1" applyFont="1" applyFill="1" applyBorder="1" applyAlignment="1">
      <x:alignment horizontal="center"/>
    </x:xf>
    <x:xf numFmtId="0" fontId="0" fillId="10" borderId="40" xfId="0" applyNumberFormat="1" applyFont="1" applyFill="1" applyBorder="1"/>
    <x:xf numFmtId="200" fontId="0" fillId="10" borderId="40" xfId="0" applyNumberFormat="1" applyFont="1" applyFill="1" applyBorder="1"/>
    <x:xf numFmtId="201" fontId="0" fillId="10" borderId="40" xfId="0" applyNumberFormat="1" applyFont="1" applyFill="1" applyBorder="1"/>
    <x:xf numFmtId="202" fontId="0" fillId="10" borderId="4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6" fillId="5" borderId="39" xfId="0" applyNumberFormat="1" applyFont="1" applyFill="1" applyBorder="1" applyAlignment="1">
      <x:alignment horizontal="center"/>
    </x:xf>
    <x:xf numFmtId="0" fontId="7" fillId="0" borderId="40" xfId="0" applyNumberFormat="1" applyFont="1" applyFill="1" applyBorder="1"/>
    <x:xf numFmtId="202" fontId="7" fillId="0" borderId="40" xfId="0" applyNumberFormat="1" applyFont="1" applyFill="1" applyBorder="1"/>
    <x:xf numFmtId="200" fontId="7" fillId="0" borderId="40" xfId="0" applyNumberFormat="1" applyFont="1" applyFill="1" applyBorder="1"/>
    <x:xf numFmtId="0" fontId="7" fillId="10" borderId="40" xfId="0" applyNumberFormat="1" applyFont="1" applyFill="1" applyBorder="1"/>
    <x:xf numFmtId="200" fontId="7" fillId="10" borderId="40" xfId="0" applyNumberFormat="1" applyFont="1" applyFill="1" applyBorder="1"/>
    <x:xf numFmtId="201" fontId="7" fillId="10" borderId="40" xfId="0" applyNumberFormat="1" applyFont="1" applyFill="1" applyBorder="1"/>
    <x:xf numFmtId="202" fontId="7" fillId="10" borderId="4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5" borderId="40" xfId="0" applyNumberFormat="1" applyFont="1" applyFill="1" applyBorder="1" applyAlignment="1">
      <x:alignment horizontal="center" vertical="center"/>
    </x:xf>
    <x:xf numFmtId="0" fontId="0" fillId="0" borderId="40" xfId="0" applyNumberFormat="1" applyFont="1" applyFill="1" applyBorder="1" applyAlignment="1">
      <x:alignment vertical="center"/>
    </x:xf>
    <x:xf numFmtId="200" fontId="0" fillId="0" borderId="4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vertical="center"/>
    </x:xf>
    <x:xf numFmtId="0" fontId="6" fillId="5" borderId="39" xfId="0" applyNumberFormat="1" applyFont="1" applyFill="1" applyBorder="1" applyAlignment="1">
      <x:alignment horizontal="center" vertical="center"/>
    </x:xf>
    <x:xf numFmtId="0" fontId="7" fillId="0" borderId="40" xfId="0" applyNumberFormat="1" applyFont="1" applyFill="1" applyBorder="1" applyAlignment="1">
      <x:alignment vertical="center"/>
    </x:xf>
    <x:xf numFmtId="202" fontId="7" fillId="0" borderId="40" xfId="0" applyNumberFormat="1" applyFont="1" applyFill="1" applyBorder="1" applyAlignment="1">
      <x:alignment vertical="center"/>
    </x:xf>
    <x:xf numFmtId="200" fontId="7" fillId="0" borderId="40" xfId="0" applyNumberFormat="1" applyFont="1" applyFill="1" applyBorder="1" applyAlignment="1">
      <x:alignment vertical="center"/>
    </x:xf>
    <x:xf numFmtId="0" fontId="7" fillId="10" borderId="40" xfId="0" applyNumberFormat="1" applyFont="1" applyFill="1" applyBorder="1" applyAlignment="1">
      <x:alignment vertical="center"/>
    </x:xf>
    <x:xf numFmtId="200" fontId="7" fillId="10" borderId="40" xfId="0" applyNumberFormat="1" applyFont="1" applyFill="1" applyBorder="1" applyAlignment="1">
      <x:alignment vertical="center"/>
    </x:xf>
    <x:xf numFmtId="201" fontId="7" fillId="10" borderId="40" xfId="0" applyNumberFormat="1" applyFont="1" applyFill="1" applyBorder="1" applyAlignment="1">
      <x:alignment vertical="center"/>
    </x:xf>
    <x:xf numFmtId="202" fontId="7" fillId="10" borderId="4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096de94ab34f45" /><Relationship Type="http://schemas.openxmlformats.org/officeDocument/2006/relationships/theme" Target="/xl/theme/theme1.xml" Id="Rdc9d5b0bdf154dd5" /><Relationship Type="http://schemas.openxmlformats.org/officeDocument/2006/relationships/sharedStrings" Target="/xl/sharedStrings.xml" Id="Rf156f94772c34043" /><Relationship Type="http://schemas.openxmlformats.org/officeDocument/2006/relationships/worksheet" Target="/xl/worksheets/sheet1.xml" Id="R73a963334897452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93e76c0dff543d5" /><Relationship Type="http://schemas.openxmlformats.org/officeDocument/2006/relationships/chart" Target="/xl/drawings/charts/chart2.xml" Id="Re960174d00864b65" /><Relationship Type="http://schemas.openxmlformats.org/officeDocument/2006/relationships/chart" Target="/xl/drawings/charts/chart3.xml" Id="Rc0d3dbc5b0584cd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Diameter Ppk by machine (reference: 1.33)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Ppk</c:v>
          </c:tx>
          <c:spPr>
            <a:solidFill xmlns:a="http://schemas.openxmlformats.org/drawingml/2006/main">
              <a:srgbClr val="216486"/>
            </a:solidFill>
          </c:spPr>
          <c:cat>
            <c:strRef>
              <c:f>'Dashboard'!$A$46:$A$49</c:f>
              <c:strCache>
                <c:ptCount val="0"/>
              </c:strCache>
            </c:strRef>
          </c:cat>
          <c:val>
            <c:numRef>
              <c:f>'Dashboard'!$B$46:$B$49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Daily defective parts (%)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Defect Rate</c:v>
          </c:tx>
          <c:spPr>
            <a:solidFill xmlns:a="http://schemas.openxmlformats.org/drawingml/2006/main">
              <a:srgbClr val="216486"/>
            </a:solidFill>
          </c:spPr>
          <c:marker>
            <c:symbol val="none"/>
          </c:marker>
          <c:cat>
            <c:strRef>
              <c:f>'Dashboard'!$E$46:$E$105</c:f>
              <c:strCache>
                <c:ptCount val="0"/>
              </c:strCache>
            </c:strRef>
          </c:cat>
          <c:val>
            <c:numRef>
              <c:f>'Dashboard'!$F$46:$F$105</c:f>
              <c:numCache>
                <c:formatCode>0.0%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7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200">
                <a:latin typeface="Arial"/>
                <a:ea typeface="Arial"/>
                <a:cs typeface="Arial"/>
              </a:rPr>
              <a:t>Defect count by category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2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Count</c:v>
          </c:tx>
          <c:spPr>
            <a:solidFill xmlns:a="http://schemas.openxmlformats.org/drawingml/2006/main">
              <a:srgbClr val="216486"/>
            </a:solidFill>
          </c:spPr>
          <c:cat>
            <c:strRef>
              <c:f>'Dashboard'!$H$46:$H$51</c:f>
              <c:strCache>
                <c:ptCount val="0"/>
              </c:strCache>
            </c:strRef>
          </c:cat>
          <c:val>
            <c:numRef>
              <c:f>'Dashboard'!$I$46:$I$51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ickLblSkip val="1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93e76c0dff543d5"/>
        </a:graphicData>
      </a:graphic>
    </xdr:graphicFrame>
    <xdr:clientData/>
  </xdr:twoCellAnchor>
  <xdr:twoCellAnchor>
    <xdr:from>
      <xdr:col>6</xdr:col>
      <xdr:colOff>0</xdr:colOff>
      <xdr:row>9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960174d00864b65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d3dbc5b0584c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75ed7d563e84d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5" max="5" width="18" hidden="0" customWidth="1"/>
    <x:col min="8" max="8" width="18" hidden="0" customWidth="1"/>
    <x:col min="12" max="12" width="18" hidden="0" customWidth="1"/>
    <x:col min="2" max="2" width="14" hidden="0" customWidth="1"/>
    <x:col min="3" max="3" width="14" hidden="0" customWidth="1"/>
    <x:col min="6" max="6" width="14" hidden="0" customWidth="1"/>
    <x:col min="9" max="9" width="14" hidden="0" customWidth="1"/>
    <x:col min="10" max="10" width="14" hidden="0" customWidth="1"/>
    <x:col min="13" max="13" width="14" hidden="0" customWidth="1"/>
    <x:col min="14" max="14" width="14" hidden="0" customWidth="1"/>
    <x:col min="15" max="15" width="14" hidden="0" customWidth="1"/>
    <x:col min="4" max="4" width="3" hidden="0" customWidth="1"/>
    <x:col min="7" max="7" width="14" hidden="0" customWidth="1"/>
    <x:col min="11" max="11" width="3" hidden="0" customWidth="1"/>
  </x:cols>
  <x:sheetData>
    <x:row r="1">
      <x:c r="A1" s="4" t="str">
        <x:v>Manufacturing Quality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232" t="str">
        <x:v>Synthetic data. 20,000 parts. Jan 5–Mar 5, 2026. Overall-SD performance indices.</x:v>
      </x:c>
      <x:c r="B3" s="232"/>
      <x:c r="C3" s="232"/>
      <x:c r="D3" s="232"/>
      <x:c r="E3" s="232"/>
      <x:c r="F3" s="232"/>
      <x:c r="G3" s="232"/>
      <x:c r="H3" s="232"/>
      <x:c r="I3" s="232"/>
      <x:c r="J3" s="232"/>
      <x:c r="K3" s="232"/>
      <x:c r="L3" s="232"/>
      <x:c r="M3" s="232"/>
      <x:c r="N3" s="232"/>
    </x:row>
    <x:row r="4">
      <x:c r="A4" s="233"/>
      <x:c r="B4" s="233"/>
      <x:c r="C4" s="233"/>
      <x:c r="D4" s="233"/>
      <x:c r="E4" s="233"/>
      <x:c r="F4" s="233"/>
      <x:c r="G4" s="233"/>
      <x:c r="H4" s="233"/>
      <x:c r="I4" s="233"/>
      <x:c r="J4" s="233"/>
      <x:c r="K4" s="233"/>
      <x:c r="L4" s="233"/>
      <x:c r="M4" s="233"/>
      <x:c r="N4" s="233"/>
    </x:row>
    <x:row r="5">
      <x:c r="A5" s="26" t="str">
        <x:v>First-Pass Yield</x:v>
      </x:c>
      <x:c r="B5" s="27" t="str">
        <x:v>First-Pass Yield</x:v>
      </x:c>
      <x:c r="C5" s="28" t="str">
        <x:v>First-Pass Yield</x:v>
      </x:c>
      <x:c r="D5" s="64" t="str">
        <x:v>PPM Defective</x:v>
      </x:c>
      <x:c r="E5" s="65" t="str">
        <x:v>PPM Defective</x:v>
      </x:c>
      <x:c r="F5" s="66" t="str">
        <x:v>PPM Defective</x:v>
      </x:c>
      <x:c r="G5" s="99" t="str">
        <x:v>Overall Ppk</x:v>
      </x:c>
      <x:c r="H5" s="100" t="str">
        <x:v>Overall Ppk</x:v>
      </x:c>
      <x:c r="I5" s="101" t="str">
        <x:v>Overall Ppk</x:v>
      </x:c>
      <x:c r="J5" s="134" t="str">
        <x:v>M3 Ppk</x:v>
      </x:c>
      <x:c r="K5" s="135" t="str">
        <x:v>M3 Ppk</x:v>
      </x:c>
      <x:c r="L5" s="136" t="str">
        <x:v>M3 Ppk</x:v>
      </x:c>
      <x:c r="M5" s="164" t="str">
        <x:v>Gage R&amp;R</x:v>
      </x:c>
      <x:c r="N5" s="165" t="str">
        <x:v>Gage R&amp;R</x:v>
      </x:c>
    </x:row>
    <x:row r="6">
      <x:c r="A6" s="178" t="n">
        <x:f>M53</x:f>
        <x:v>0.94675</x:v>
      </x:c>
      <x:c r="B6" s="179"/>
      <x:c r="C6" s="180"/>
      <x:c r="D6" s="184" t="n">
        <x:f>M54</x:f>
        <x:v>53250</x:v>
      </x:c>
      <x:c r="E6" s="185"/>
      <x:c r="F6" s="186"/>
      <x:c r="G6" s="190" t="n">
        <x:f>M55</x:f>
        <x:v>0.7912433768997817</x:v>
      </x:c>
      <x:c r="H6" s="191"/>
      <x:c r="I6" s="192"/>
      <x:c r="J6" s="196" t="n">
        <x:f>M56</x:f>
        <x:v>0.7296503759045699</x:v>
      </x:c>
      <x:c r="K6" s="191"/>
      <x:c r="L6" s="197"/>
      <x:c r="M6" s="201" t="n">
        <x:f>M57</x:f>
        <x:v>0.09133712278184088</x:v>
      </x:c>
      <x:c r="N6" s="202"/>
    </x:row>
    <x:row r="7">
      <x:c r="A7" s="178"/>
      <x:c r="B7" s="179"/>
      <x:c r="C7" s="180"/>
      <x:c r="D7" s="184"/>
      <x:c r="E7" s="185"/>
      <x:c r="F7" s="186"/>
      <x:c r="G7" s="190"/>
      <x:c r="H7" s="191"/>
      <x:c r="I7" s="192"/>
      <x:c r="J7" s="196"/>
      <x:c r="K7" s="191"/>
      <x:c r="L7" s="197"/>
      <x:c r="M7" s="201"/>
      <x:c r="N7" s="202"/>
    </x:row>
    <x:row r="8">
      <x:c r="A8" s="181"/>
      <x:c r="B8" s="182"/>
      <x:c r="C8" s="183"/>
      <x:c r="D8" s="187"/>
      <x:c r="E8" s="188"/>
      <x:c r="F8" s="189"/>
      <x:c r="G8" s="193"/>
      <x:c r="H8" s="194"/>
      <x:c r="I8" s="195"/>
      <x:c r="J8" s="198"/>
      <x:c r="K8" s="199"/>
      <x:c r="L8" s="200"/>
      <x:c r="M8" s="203"/>
      <x:c r="N8" s="204"/>
    </x:row>
    <x:row r="9" ht="8" customHeight="1">
      <x:c r="A9" s="233"/>
      <x:c r="B9" s="233"/>
      <x:c r="C9" s="233"/>
      <x:c r="D9" s="233"/>
      <x:c r="E9" s="233"/>
      <x:c r="F9" s="233"/>
      <x:c r="G9" s="233"/>
      <x:c r="H9" s="233"/>
      <x:c r="I9" s="233"/>
      <x:c r="J9" s="233"/>
      <x:c r="K9" s="233"/>
      <x:c r="L9" s="233"/>
      <x:c r="M9" s="233"/>
      <x:c r="N9" s="233"/>
    </x:row>
    <x:row r="10">
      <x:c r="A10" s="233"/>
      <x:c r="B10" s="233"/>
      <x:c r="C10" s="233"/>
      <x:c r="D10" s="233"/>
      <x:c r="E10" s="233"/>
      <x:c r="F10" s="233"/>
      <x:c r="G10" s="233"/>
      <x:c r="H10" s="233"/>
      <x:c r="I10" s="233"/>
      <x:c r="J10" s="233"/>
      <x:c r="K10" s="233"/>
      <x:c r="L10" s="233"/>
      <x:c r="M10" s="233"/>
      <x:c r="N10" s="233"/>
    </x:row>
    <x:row r="11">
      <x:c r="A11" s="233"/>
      <x:c r="B11" s="233"/>
      <x:c r="C11" s="233"/>
      <x:c r="D11" s="233"/>
      <x:c r="E11" s="233"/>
      <x:c r="F11" s="233"/>
      <x:c r="G11" s="233"/>
      <x:c r="H11" s="233"/>
      <x:c r="I11" s="233"/>
      <x:c r="J11" s="233"/>
      <x:c r="K11" s="233"/>
      <x:c r="L11" s="233"/>
      <x:c r="M11" s="233"/>
      <x:c r="N11" s="233"/>
    </x:row>
    <x:row r="12">
      <x:c r="A12" s="233"/>
      <x:c r="B12" s="233"/>
      <x:c r="C12" s="233"/>
      <x:c r="D12" s="233"/>
      <x:c r="E12" s="233"/>
      <x:c r="F12" s="233"/>
      <x:c r="G12" s="233"/>
      <x:c r="H12" s="233"/>
      <x:c r="I12" s="233"/>
      <x:c r="J12" s="233"/>
      <x:c r="K12" s="233"/>
      <x:c r="L12" s="233"/>
      <x:c r="M12" s="233"/>
      <x:c r="N12" s="233"/>
    </x:row>
    <x:row r="13">
      <x:c r="A13" s="233"/>
      <x:c r="B13" s="233"/>
      <x:c r="C13" s="233"/>
      <x:c r="D13" s="233"/>
      <x:c r="E13" s="233"/>
      <x:c r="F13" s="233"/>
      <x:c r="G13" s="233"/>
      <x:c r="H13" s="233"/>
      <x:c r="I13" s="233"/>
      <x:c r="J13" s="233"/>
      <x:c r="K13" s="233"/>
      <x:c r="L13" s="233"/>
      <x:c r="M13" s="233"/>
      <x:c r="N13" s="233"/>
    </x:row>
    <x:row r="14">
      <x:c r="A14" s="233"/>
      <x:c r="B14" s="233"/>
      <x:c r="C14" s="233"/>
      <x:c r="D14" s="233"/>
      <x:c r="E14" s="233"/>
      <x:c r="F14" s="233"/>
      <x:c r="G14" s="233"/>
      <x:c r="H14" s="233"/>
      <x:c r="I14" s="233"/>
      <x:c r="J14" s="233"/>
      <x:c r="K14" s="233"/>
      <x:c r="L14" s="233"/>
      <x:c r="M14" s="233"/>
      <x:c r="N14" s="233"/>
    </x:row>
    <x:row r="15">
      <x:c r="A15" s="233"/>
      <x:c r="B15" s="233"/>
      <x:c r="C15" s="233"/>
      <x:c r="D15" s="233"/>
      <x:c r="E15" s="233"/>
      <x:c r="F15" s="233"/>
      <x:c r="G15" s="233"/>
      <x:c r="H15" s="233"/>
      <x:c r="I15" s="233"/>
      <x:c r="J15" s="233"/>
      <x:c r="K15" s="233"/>
      <x:c r="L15" s="233"/>
      <x:c r="M15" s="233"/>
      <x:c r="N15" s="233"/>
    </x:row>
    <x:row r="16">
      <x:c r="A16" s="233"/>
      <x:c r="B16" s="233"/>
      <x:c r="C16" s="233"/>
      <x:c r="D16" s="233"/>
      <x:c r="E16" s="233"/>
      <x:c r="F16" s="233"/>
      <x:c r="G16" s="233"/>
      <x:c r="H16" s="233"/>
      <x:c r="I16" s="233"/>
      <x:c r="J16" s="233"/>
      <x:c r="K16" s="233"/>
      <x:c r="L16" s="233"/>
      <x:c r="M16" s="233"/>
      <x:c r="N16" s="233"/>
    </x:row>
    <x:row r="17">
      <x:c r="A17" s="233"/>
      <x:c r="B17" s="233"/>
      <x:c r="C17" s="233"/>
      <x:c r="D17" s="233"/>
      <x:c r="E17" s="233"/>
      <x:c r="F17" s="233"/>
      <x:c r="G17" s="233"/>
      <x:c r="H17" s="233"/>
      <x:c r="I17" s="233"/>
      <x:c r="J17" s="233"/>
      <x:c r="K17" s="233"/>
      <x:c r="L17" s="233"/>
      <x:c r="M17" s="233"/>
      <x:c r="N17" s="233"/>
    </x:row>
    <x:row r="18">
      <x:c r="A18" s="233"/>
      <x:c r="B18" s="233"/>
      <x:c r="C18" s="233"/>
      <x:c r="D18" s="233"/>
      <x:c r="E18" s="233"/>
      <x:c r="F18" s="233"/>
      <x:c r="G18" s="233"/>
      <x:c r="H18" s="233"/>
      <x:c r="I18" s="233"/>
      <x:c r="J18" s="233"/>
      <x:c r="K18" s="233"/>
      <x:c r="L18" s="233"/>
      <x:c r="M18" s="233"/>
      <x:c r="N18" s="233"/>
    </x:row>
    <x:row r="19">
      <x:c r="A19" s="233"/>
      <x:c r="B19" s="233"/>
      <x:c r="C19" s="233"/>
      <x:c r="D19" s="233"/>
      <x:c r="E19" s="233"/>
      <x:c r="F19" s="233"/>
      <x:c r="G19" s="233"/>
      <x:c r="H19" s="233"/>
      <x:c r="I19" s="233"/>
      <x:c r="J19" s="233"/>
      <x:c r="K19" s="233"/>
      <x:c r="L19" s="233"/>
      <x:c r="M19" s="233"/>
      <x:c r="N19" s="233"/>
    </x:row>
    <x:row r="20">
      <x:c r="A20" s="233"/>
      <x:c r="B20" s="233"/>
      <x:c r="C20" s="233"/>
      <x:c r="D20" s="233"/>
      <x:c r="E20" s="233"/>
      <x:c r="F20" s="233"/>
      <x:c r="G20" s="233"/>
      <x:c r="H20" s="233"/>
      <x:c r="I20" s="233"/>
      <x:c r="J20" s="233"/>
      <x:c r="K20" s="233"/>
      <x:c r="L20" s="233"/>
      <x:c r="M20" s="233"/>
      <x:c r="N20" s="233"/>
    </x:row>
    <x:row r="21">
      <x:c r="A21" s="233"/>
      <x:c r="B21" s="233"/>
      <x:c r="C21" s="233"/>
      <x:c r="D21" s="233"/>
      <x:c r="E21" s="233"/>
      <x:c r="F21" s="233"/>
      <x:c r="G21" s="233"/>
      <x:c r="H21" s="233"/>
      <x:c r="I21" s="233"/>
      <x:c r="J21" s="233"/>
      <x:c r="K21" s="233"/>
      <x:c r="L21" s="233"/>
      <x:c r="M21" s="233"/>
      <x:c r="N21" s="233"/>
    </x:row>
    <x:row r="22">
      <x:c r="A22" s="233"/>
      <x:c r="B22" s="233"/>
      <x:c r="C22" s="233"/>
      <x:c r="D22" s="233"/>
      <x:c r="E22" s="233"/>
      <x:c r="F22" s="233"/>
      <x:c r="G22" s="233"/>
      <x:c r="H22" s="233"/>
      <x:c r="I22" s="233"/>
      <x:c r="J22" s="233"/>
      <x:c r="K22" s="233"/>
      <x:c r="L22" s="233"/>
      <x:c r="M22" s="233"/>
      <x:c r="N22" s="233"/>
    </x:row>
    <x:row r="23">
      <x:c r="A23" s="233"/>
      <x:c r="B23" s="233"/>
      <x:c r="C23" s="233"/>
      <x:c r="D23" s="233"/>
      <x:c r="E23" s="233"/>
      <x:c r="F23" s="233"/>
      <x:c r="G23" s="233"/>
      <x:c r="H23" s="233"/>
      <x:c r="I23" s="233"/>
      <x:c r="J23" s="233"/>
      <x:c r="K23" s="233"/>
      <x:c r="L23" s="233"/>
      <x:c r="M23" s="233"/>
      <x:c r="N23" s="233"/>
    </x:row>
    <x:row r="24">
      <x:c r="A24" s="233"/>
      <x:c r="B24" s="233"/>
      <x:c r="C24" s="233"/>
      <x:c r="D24" s="233"/>
      <x:c r="E24" s="233"/>
      <x:c r="F24" s="233"/>
      <x:c r="G24" s="233"/>
      <x:c r="H24" s="233"/>
      <x:c r="I24" s="233"/>
      <x:c r="J24" s="233"/>
      <x:c r="K24" s="233"/>
      <x:c r="L24" s="233"/>
      <x:c r="M24" s="233"/>
      <x:c r="N24" s="233"/>
    </x:row>
    <x:row r="25">
      <x:c r="A25" s="233"/>
      <x:c r="B25" s="233"/>
      <x:c r="C25" s="233"/>
      <x:c r="D25" s="233"/>
      <x:c r="E25" s="233"/>
      <x:c r="F25" s="233"/>
      <x:c r="G25" s="233"/>
      <x:c r="H25" s="233"/>
      <x:c r="I25" s="233"/>
      <x:c r="J25" s="233"/>
      <x:c r="K25" s="233"/>
      <x:c r="L25" s="233"/>
      <x:c r="M25" s="233"/>
      <x:c r="N25" s="233"/>
    </x:row>
    <x:row r="26">
      <x:c r="A26" s="233"/>
      <x:c r="B26" s="233"/>
      <x:c r="C26" s="233"/>
      <x:c r="D26" s="233"/>
      <x:c r="E26" s="233"/>
      <x:c r="F26" s="233"/>
      <x:c r="G26" s="234" t="str">
        <x:v>Machine × Shift Defect Rate Heatmap</x:v>
      </x:c>
      <x:c r="H26" s="234"/>
      <x:c r="I26" s="234"/>
      <x:c r="J26" s="234"/>
      <x:c r="K26" s="234"/>
      <x:c r="L26" s="234"/>
      <x:c r="M26" s="234"/>
      <x:c r="N26" s="234"/>
    </x:row>
    <x:row r="27">
      <x:c r="A27" s="233"/>
      <x:c r="B27" s="233"/>
      <x:c r="C27" s="233"/>
      <x:c r="D27" s="233"/>
      <x:c r="E27" s="233"/>
      <x:c r="F27" s="233"/>
      <x:c r="G27" s="233"/>
      <x:c r="H27" s="233"/>
      <x:c r="I27" s="233"/>
      <x:c r="J27" s="233"/>
      <x:c r="K27" s="233"/>
      <x:c r="L27" s="233"/>
      <x:c r="M27" s="233"/>
      <x:c r="N27" s="233"/>
    </x:row>
    <x:row r="28">
      <x:c r="A28" s="233"/>
      <x:c r="B28" s="233"/>
      <x:c r="C28" s="233"/>
      <x:c r="D28" s="233"/>
      <x:c r="E28" s="233"/>
      <x:c r="F28" s="233"/>
      <x:c r="G28" s="235" t="str">
        <x:v>Machine</x:v>
      </x:c>
      <x:c r="H28" s="235" t="str">
        <x:v>Shift A</x:v>
      </x:c>
      <x:c r="I28" s="235" t="str">
        <x:v>Shift B</x:v>
      </x:c>
      <x:c r="J28" s="235" t="str">
        <x:v>Shift C</x:v>
      </x:c>
      <x:c r="K28" s="233"/>
      <x:c r="L28" s="233"/>
      <x:c r="M28" s="233"/>
      <x:c r="N28" s="233"/>
    </x:row>
    <x:row r="29">
      <x:c r="A29" s="233"/>
      <x:c r="B29" s="233"/>
      <x:c r="C29" s="233"/>
      <x:c r="D29" s="233"/>
      <x:c r="E29" s="233"/>
      <x:c r="F29" s="233"/>
      <x:c r="G29" s="236" t="str">
        <x:v>M1</x:v>
      </x:c>
      <x:c r="H29" s="237" t="n">
        <x:f>M46</x:f>
        <x:v>0.0397982062780269</x:v>
      </x:c>
      <x:c r="I29" s="237" t="n">
        <x:f>N46</x:f>
        <x:v>0.04063604240282685</x:v>
      </x:c>
      <x:c r="J29" s="237" t="n">
        <x:f>O46</x:f>
        <x:v>0.05972045743329098</x:v>
      </x:c>
      <x:c r="K29" s="233"/>
      <x:c r="L29" s="233"/>
      <x:c r="M29" s="233"/>
      <x:c r="N29" s="233"/>
    </x:row>
    <x:row r="30">
      <x:c r="A30" s="233"/>
      <x:c r="B30" s="233"/>
      <x:c r="C30" s="233"/>
      <x:c r="D30" s="233"/>
      <x:c r="E30" s="233"/>
      <x:c r="F30" s="233"/>
      <x:c r="G30" s="236" t="str">
        <x:v>M2</x:v>
      </x:c>
      <x:c r="H30" s="237" t="n">
        <x:f>M47</x:f>
        <x:v>0.0514018691588785</x:v>
      </x:c>
      <x:c r="I30" s="237" t="n">
        <x:f>N47</x:f>
        <x:v>0.03747072599531616</x:v>
      </x:c>
      <x:c r="J30" s="237" t="n">
        <x:f>O47</x:f>
        <x:v>0.07017543859649122</x:v>
      </x:c>
      <x:c r="K30" s="233"/>
      <x:c r="L30" s="233"/>
      <x:c r="M30" s="233"/>
      <x:c r="N30" s="233"/>
    </x:row>
    <x:row r="31">
      <x:c r="A31" s="233"/>
      <x:c r="B31" s="233"/>
      <x:c r="C31" s="233"/>
      <x:c r="D31" s="233"/>
      <x:c r="E31" s="233"/>
      <x:c r="F31" s="233"/>
      <x:c r="G31" s="236" t="str">
        <x:v>M3</x:v>
      </x:c>
      <x:c r="H31" s="237" t="n">
        <x:f>M48</x:f>
        <x:v>0.06218487394957983</x:v>
      </x:c>
      <x:c r="I31" s="237" t="n">
        <x:f>N48</x:f>
        <x:v>0.06141820212171971</x:v>
      </x:c>
      <x:c r="J31" s="237" t="n">
        <x:f>O48</x:f>
        <x:v>0.07520325203252033</x:v>
      </x:c>
      <x:c r="K31" s="233"/>
      <x:c r="L31" s="233"/>
      <x:c r="M31" s="233"/>
      <x:c r="N31" s="233"/>
    </x:row>
    <x:row r="32">
      <x:c r="A32" s="233"/>
      <x:c r="B32" s="233"/>
      <x:c r="C32" s="233"/>
      <x:c r="D32" s="233"/>
      <x:c r="E32" s="233"/>
      <x:c r="F32" s="233"/>
      <x:c r="G32" s="236" t="str">
        <x:v>M4</x:v>
      </x:c>
      <x:c r="H32" s="237" t="n">
        <x:f>M49</x:f>
        <x:v>0.02538370720188902</x:v>
      </x:c>
      <x:c r="I32" s="237" t="n">
        <x:f>N49</x:f>
        <x:v>0.05038078500292911</x:v>
      </x:c>
      <x:c r="J32" s="237" t="n">
        <x:f>O49</x:f>
        <x:v>0.07186440677966102</x:v>
      </x:c>
      <x:c r="K32" s="233"/>
      <x:c r="L32" s="233"/>
      <x:c r="M32" s="233"/>
      <x:c r="N32" s="233"/>
    </x:row>
    <x:row r="33">
      <x:c r="A33" s="233"/>
      <x:c r="B33" s="233"/>
      <x:c r="C33" s="233"/>
      <x:c r="D33" s="233"/>
      <x:c r="E33" s="233"/>
      <x:c r="F33" s="233"/>
      <x:c r="G33" s="233"/>
      <x:c r="H33" s="233"/>
      <x:c r="I33" s="233"/>
      <x:c r="J33" s="233"/>
      <x:c r="K33" s="233"/>
      <x:c r="L33" s="233"/>
      <x:c r="M33" s="233"/>
      <x:c r="N33" s="233"/>
    </x:row>
    <x:row r="34">
      <x:c r="A34" s="233"/>
      <x:c r="B34" s="233"/>
      <x:c r="C34" s="233"/>
      <x:c r="D34" s="233"/>
      <x:c r="E34" s="233"/>
      <x:c r="F34" s="233"/>
      <x:c r="G34" s="233"/>
      <x:c r="H34" s="233"/>
      <x:c r="I34" s="233"/>
      <x:c r="J34" s="233"/>
      <x:c r="K34" s="233"/>
      <x:c r="L34" s="233"/>
      <x:c r="M34" s="233"/>
      <x:c r="N34" s="233"/>
    </x:row>
    <x:row r="35">
      <x:c r="A35" s="233"/>
      <x:c r="B35" s="233"/>
      <x:c r="C35" s="233"/>
      <x:c r="D35" s="233"/>
      <x:c r="E35" s="233"/>
      <x:c r="F35" s="233"/>
      <x:c r="G35" s="249" t="str">
        <x:v>Ppk uses overall sample SD. The mixed-machine baseline is descriptive; stability is not established.</x:v>
      </x:c>
      <x:c r="H35" s="249"/>
      <x:c r="I35" s="249"/>
      <x:c r="J35" s="249"/>
      <x:c r="K35" s="249"/>
      <x:c r="L35" s="249"/>
      <x:c r="M35" s="249"/>
      <x:c r="N35" s="249"/>
    </x:row>
    <x:row r="36">
      <x:c r="A36" s="233"/>
      <x:c r="B36" s="233"/>
      <x:c r="C36" s="233"/>
      <x:c r="D36" s="233"/>
      <x:c r="E36" s="233"/>
      <x:c r="F36" s="233"/>
      <x:c r="G36" s="249"/>
      <x:c r="H36" s="249"/>
      <x:c r="I36" s="249"/>
      <x:c r="J36" s="249"/>
      <x:c r="K36" s="249"/>
      <x:c r="L36" s="249"/>
      <x:c r="M36" s="249"/>
      <x:c r="N36" s="249"/>
    </x:row>
    <x:row r="37">
      <x:c r="A37" s="233"/>
      <x:c r="B37" s="233"/>
      <x:c r="C37" s="233"/>
      <x:c r="D37" s="233"/>
      <x:c r="E37" s="233"/>
      <x:c r="F37" s="233"/>
      <x:c r="G37" s="233"/>
      <x:c r="H37" s="233"/>
      <x:c r="I37" s="233"/>
      <x:c r="J37" s="233"/>
      <x:c r="K37" s="233"/>
      <x:c r="L37" s="233"/>
      <x:c r="M37" s="233"/>
      <x:c r="N37" s="233"/>
    </x:row>
    <x:row r="38">
      <x:c r="A38" s="233"/>
      <x:c r="B38" s="233"/>
      <x:c r="C38" s="233"/>
      <x:c r="D38" s="233"/>
      <x:c r="E38" s="233"/>
      <x:c r="F38" s="233"/>
      <x:c r="G38" s="249" t="str">
        <x:v>Source: data/manufacturing.csv; quality_analysis.ipynb. FPY uses Inspection_Result. Gage R&amp;R is % study variation. Detailed definitions and a clean presentation preview are in README.md.</x:v>
      </x:c>
      <x:c r="H38" s="249"/>
      <x:c r="I38" s="249"/>
      <x:c r="J38" s="249"/>
      <x:c r="K38" s="249"/>
      <x:c r="L38" s="249"/>
      <x:c r="M38" s="249"/>
      <x:c r="N38" s="249"/>
    </x:row>
    <x:row r="39">
      <x:c r="A39" s="233"/>
      <x:c r="B39" s="233"/>
      <x:c r="C39" s="233"/>
      <x:c r="D39" s="233"/>
      <x:c r="E39" s="233"/>
      <x:c r="F39" s="233"/>
      <x:c r="G39" s="249"/>
      <x:c r="H39" s="249"/>
      <x:c r="I39" s="249"/>
      <x:c r="J39" s="249"/>
      <x:c r="K39" s="249"/>
      <x:c r="L39" s="249"/>
      <x:c r="M39" s="249"/>
      <x:c r="N39" s="249"/>
    </x:row>
    <x:row r="40">
      <x:c r="A40" s="233"/>
      <x:c r="B40" s="233"/>
      <x:c r="C40" s="233"/>
      <x:c r="D40" s="233"/>
      <x:c r="E40" s="233"/>
      <x:c r="F40" s="233"/>
      <x:c r="G40" s="249"/>
      <x:c r="H40" s="249"/>
      <x:c r="I40" s="249"/>
      <x:c r="J40" s="249"/>
      <x:c r="K40" s="249"/>
      <x:c r="L40" s="249"/>
      <x:c r="M40" s="249"/>
      <x:c r="N40" s="249"/>
    </x:row>
    <x:row r="41">
      <x:c r="A41" s="233"/>
      <x:c r="B41" s="233"/>
      <x:c r="C41" s="233"/>
      <x:c r="D41" s="233"/>
      <x:c r="E41" s="233"/>
      <x:c r="F41" s="233"/>
      <x:c r="G41" s="233"/>
      <x:c r="H41" s="233"/>
      <x:c r="I41" s="233"/>
      <x:c r="J41" s="233"/>
      <x:c r="K41" s="233"/>
      <x:c r="L41" s="233"/>
      <x:c r="M41" s="233"/>
      <x:c r="N41" s="233"/>
    </x:row>
    <x:row r="42">
      <x:c r="A42" s="233"/>
      <x:c r="B42" s="233"/>
      <x:c r="C42" s="233"/>
      <x:c r="D42" s="233"/>
      <x:c r="E42" s="233"/>
      <x:c r="F42" s="233"/>
      <x:c r="G42" s="233"/>
      <x:c r="H42" s="233"/>
      <x:c r="I42" s="233"/>
      <x:c r="J42" s="233"/>
      <x:c r="K42" s="233"/>
      <x:c r="L42" s="233"/>
      <x:c r="M42" s="233"/>
      <x:c r="N42" s="233"/>
    </x:row>
    <x:row r="43">
      <x:c r="A43" s="233"/>
      <x:c r="B43" s="233"/>
      <x:c r="C43" s="233"/>
      <x:c r="D43" s="233"/>
      <x:c r="E43" s="233"/>
      <x:c r="F43" s="233"/>
      <x:c r="G43" s="233"/>
      <x:c r="H43" s="233"/>
      <x:c r="I43" s="233"/>
      <x:c r="J43" s="233"/>
      <x:c r="K43" s="233"/>
      <x:c r="L43" s="233"/>
      <x:c r="M43" s="233"/>
      <x:c r="N43" s="233"/>
    </x:row>
    <x:row r="44">
      <x:c r="A44" s="238" t="str">
        <x:v>Ppk by machine</x:v>
      </x:c>
      <x:c r="B44" s="238"/>
      <x:c r="C44" s="238"/>
      <x:c r="D44" s="239"/>
      <x:c r="E44" s="238" t="str">
        <x:v>Defect % Over Time</x:v>
      </x:c>
      <x:c r="F44" s="238"/>
      <x:c r="G44" s="239"/>
      <x:c r="H44" s="238" t="str">
        <x:v>Defect Pareto</x:v>
      </x:c>
      <x:c r="I44" s="238"/>
      <x:c r="J44" s="238"/>
      <x:c r="K44" s="239"/>
      <x:c r="L44" s="238" t="str">
        <x:v>Machine × Shift Defect Rate</x:v>
      </x:c>
      <x:c r="M44" s="238"/>
      <x:c r="N44" s="238"/>
      <x:c r="O44" s="222"/>
    </x:row>
    <x:row r="45">
      <x:c r="A45" s="240" t="str">
        <x:v>Machine</x:v>
      </x:c>
      <x:c r="B45" s="240" t="str">
        <x:v>Ppk</x:v>
      </x:c>
      <x:c r="C45" s="240" t="str">
        <x:v>1.33 Reference</x:v>
      </x:c>
      <x:c r="D45" s="239"/>
      <x:c r="E45" s="240" t="str">
        <x:v>Date</x:v>
      </x:c>
      <x:c r="F45" s="240" t="str">
        <x:v>Defect Rate</x:v>
      </x:c>
      <x:c r="G45" s="239"/>
      <x:c r="H45" s="240" t="str">
        <x:v>Defect Type</x:v>
      </x:c>
      <x:c r="I45" s="240" t="str">
        <x:v>Count</x:v>
      </x:c>
      <x:c r="J45" s="240" t="str">
        <x:v>Cumulative %</x:v>
      </x:c>
      <x:c r="K45" s="239"/>
      <x:c r="L45" s="240" t="str">
        <x:v>Machine</x:v>
      </x:c>
      <x:c r="M45" s="240" t="str">
        <x:v>Shift A</x:v>
      </x:c>
      <x:c r="N45" s="240" t="str">
        <x:v>Shift B</x:v>
      </x:c>
      <x:c r="O45" s="224" t="str">
        <x:v>Shift C</x:v>
      </x:c>
    </x:row>
    <x:row r="46">
      <x:c r="A46" s="241" t="str">
        <x:v>M1</x:v>
      </x:c>
      <x:c r="B46" s="242" t="n">
        <x:v>2.929119198077499</x:v>
      </x:c>
      <x:c r="C46" s="242" t="n">
        <x:v>1.33</x:v>
      </x:c>
      <x:c r="D46" s="239"/>
      <x:c r="E46" s="241" t="str">
        <x:v>2026-01-05</x:v>
      </x:c>
      <x:c r="F46" s="243" t="n">
        <x:v>0.056074766355140186</x:v>
      </x:c>
      <x:c r="G46" s="239"/>
      <x:c r="H46" s="241" t="str">
        <x:v>Surface finish</x:v>
      </x:c>
      <x:c r="I46" s="241" t="n">
        <x:v>407</x:v>
      </x:c>
      <x:c r="J46" s="243" t="n">
        <x:v>0.38215962441314555</x:v>
      </x:c>
      <x:c r="K46" s="239"/>
      <x:c r="L46" s="241" t="str">
        <x:v>M1</x:v>
      </x:c>
      <x:c r="M46" s="243" t="n">
        <x:v>0.0397982062780269</x:v>
      </x:c>
      <x:c r="N46" s="243" t="n">
        <x:v>0.04063604240282685</x:v>
      </x:c>
      <x:c r="O46" s="227" t="n">
        <x:v>0.05972045743329098</x:v>
      </x:c>
    </x:row>
    <x:row r="47">
      <x:c r="A47" s="241" t="str">
        <x:v>M2</x:v>
      </x:c>
      <x:c r="B47" s="242" t="n">
        <x:v>2.947525138851623</x:v>
      </x:c>
      <x:c r="C47" s="242" t="n">
        <x:v>1.33</x:v>
      </x:c>
      <x:c r="D47" s="239"/>
      <x:c r="E47" s="241" t="str">
        <x:v>2026-01-06</x:v>
      </x:c>
      <x:c r="F47" s="243" t="n">
        <x:v>0.040123456790123455</x:v>
      </x:c>
      <x:c r="G47" s="239"/>
      <x:c r="H47" s="241" t="str">
        <x:v>Burr</x:v>
      </x:c>
      <x:c r="I47" s="241" t="n">
        <x:v>211</x:v>
      </x:c>
      <x:c r="J47" s="243" t="n">
        <x:v>0.5802816901408451</x:v>
      </x:c>
      <x:c r="K47" s="239"/>
      <x:c r="L47" s="241" t="str">
        <x:v>M2</x:v>
      </x:c>
      <x:c r="M47" s="243" t="n">
        <x:v>0.0514018691588785</x:v>
      </x:c>
      <x:c r="N47" s="243" t="n">
        <x:v>0.03747072599531616</x:v>
      </x:c>
      <x:c r="O47" s="227" t="n">
        <x:v>0.07017543859649122</x:v>
      </x:c>
    </x:row>
    <x:row r="48">
      <x:c r="A48" s="241" t="str">
        <x:v>M3</x:v>
      </x:c>
      <x:c r="B48" s="242" t="n">
        <x:v>0.7296503759045699</x:v>
      </x:c>
      <x:c r="C48" s="242" t="n">
        <x:v>1.33</x:v>
      </x:c>
      <x:c r="D48" s="239"/>
      <x:c r="E48" s="241" t="str">
        <x:v>2026-01-07</x:v>
      </x:c>
      <x:c r="F48" s="243" t="n">
        <x:v>0.03867403314917127</x:v>
      </x:c>
      <x:c r="G48" s="239"/>
      <x:c r="H48" s="241" t="str">
        <x:v>Taper</x:v>
      </x:c>
      <x:c r="I48" s="241" t="n">
        <x:v>206</x:v>
      </x:c>
      <x:c r="J48" s="243" t="n">
        <x:v>0.7737089201877935</x:v>
      </x:c>
      <x:c r="K48" s="239"/>
      <x:c r="L48" s="241" t="str">
        <x:v>M3</x:v>
      </x:c>
      <x:c r="M48" s="243" t="n">
        <x:v>0.06218487394957983</x:v>
      </x:c>
      <x:c r="N48" s="243" t="n">
        <x:v>0.06141820212171971</x:v>
      </x:c>
      <x:c r="O48" s="227" t="n">
        <x:v>0.07520325203252033</x:v>
      </x:c>
    </x:row>
    <x:row r="49">
      <x:c r="A49" s="241" t="str">
        <x:v>M4</x:v>
      </x:c>
      <x:c r="B49" s="242" t="n">
        <x:v>2.989022319758044</x:v>
      </x:c>
      <x:c r="C49" s="242" t="n">
        <x:v>1.33</x:v>
      </x:c>
      <x:c r="D49" s="239"/>
      <x:c r="E49" s="241" t="str">
        <x:v>2026-01-08</x:v>
      </x:c>
      <x:c r="F49" s="243" t="n">
        <x:v>0.040372670807453416</x:v>
      </x:c>
      <x:c r="G49" s="239"/>
      <x:c r="H49" s="241" t="str">
        <x:v>Tool mark</x:v>
      </x:c>
      <x:c r="I49" s="241" t="n">
        <x:v>161</x:v>
      </x:c>
      <x:c r="J49" s="243" t="n">
        <x:v>0.9248826291079812</x:v>
      </x:c>
      <x:c r="K49" s="239"/>
      <x:c r="L49" s="241" t="str">
        <x:v>M4</x:v>
      </x:c>
      <x:c r="M49" s="243" t="n">
        <x:v>0.02538370720188902</x:v>
      </x:c>
      <x:c r="N49" s="243" t="n">
        <x:v>0.05038078500292911</x:v>
      </x:c>
      <x:c r="O49" s="227" t="n">
        <x:v>0.07186440677966102</x:v>
      </x:c>
    </x:row>
    <x:row r="50">
      <x:c r="A50" s="239"/>
      <x:c r="B50" s="239"/>
      <x:c r="C50" s="239"/>
      <x:c r="D50" s="239"/>
      <x:c r="E50" s="241" t="str">
        <x:v>2026-01-09</x:v>
      </x:c>
      <x:c r="F50" s="243" t="n">
        <x:v>0.071875</x:v>
      </x:c>
      <x:c r="G50" s="239"/>
      <x:c r="H50" s="241" t="str">
        <x:v>Oversize</x:v>
      </x:c>
      <x:c r="I50" s="241" t="n">
        <x:v>80</x:v>
      </x:c>
      <x:c r="J50" s="243" t="n">
        <x:v>1</x:v>
      </x:c>
      <x:c r="K50" s="239"/>
      <x:c r="L50" s="239"/>
      <x:c r="M50" s="239"/>
      <x:c r="N50" s="239"/>
      <x:c r="O50" s="223"/>
    </x:row>
    <x:row r="51">
      <x:c r="A51" s="239"/>
      <x:c r="B51" s="239"/>
      <x:c r="C51" s="239"/>
      <x:c r="D51" s="239"/>
      <x:c r="E51" s="241" t="str">
        <x:v>2026-01-10</x:v>
      </x:c>
      <x:c r="F51" s="243" t="n">
        <x:v>0.06418918918918919</x:v>
      </x:c>
      <x:c r="G51" s="239"/>
      <x:c r="H51" s="241" t="str">
        <x:v>Undersize</x:v>
      </x:c>
      <x:c r="I51" s="241" t="n">
        <x:v>0</x:v>
      </x:c>
      <x:c r="J51" s="243" t="n">
        <x:v>1</x:v>
      </x:c>
      <x:c r="K51" s="239"/>
      <x:c r="L51" s="239"/>
      <x:c r="M51" s="239"/>
      <x:c r="N51" s="239"/>
      <x:c r="O51" s="223"/>
    </x:row>
    <x:row r="52">
      <x:c r="A52" s="239"/>
      <x:c r="B52" s="239"/>
      <x:c r="C52" s="239"/>
      <x:c r="D52" s="239"/>
      <x:c r="E52" s="241" t="str">
        <x:v>2026-01-11</x:v>
      </x:c>
      <x:c r="F52" s="243" t="n">
        <x:v>0.07507507507507508</x:v>
      </x:c>
      <x:c r="G52" s="239"/>
      <x:c r="H52" s="239"/>
      <x:c r="I52" s="239"/>
      <x:c r="J52" s="239"/>
      <x:c r="K52" s="239"/>
      <x:c r="L52" s="238" t="str">
        <x:v>KPI Inputs</x:v>
      </x:c>
      <x:c r="M52" s="238"/>
      <x:c r="N52" s="239"/>
      <x:c r="O52" s="223"/>
    </x:row>
    <x:row r="53">
      <x:c r="A53" s="239"/>
      <x:c r="B53" s="239"/>
      <x:c r="C53" s="239"/>
      <x:c r="D53" s="239"/>
      <x:c r="E53" s="241" t="str">
        <x:v>2026-01-12</x:v>
      </x:c>
      <x:c r="F53" s="243" t="n">
        <x:v>0.07317073170731707</x:v>
      </x:c>
      <x:c r="G53" s="239"/>
      <x:c r="H53" s="239"/>
      <x:c r="I53" s="239"/>
      <x:c r="J53" s="239"/>
      <x:c r="K53" s="239"/>
      <x:c r="L53" s="244" t="str">
        <x:v>First-Pass Yield</x:v>
      </x:c>
      <x:c r="M53" s="245" t="n">
        <x:v>0.94675</x:v>
      </x:c>
      <x:c r="N53" s="239"/>
      <x:c r="O53" s="223"/>
    </x:row>
    <x:row r="54">
      <x:c r="A54" s="239"/>
      <x:c r="B54" s="239"/>
      <x:c r="C54" s="239"/>
      <x:c r="D54" s="239"/>
      <x:c r="E54" s="241" t="str">
        <x:v>2026-01-13</x:v>
      </x:c>
      <x:c r="F54" s="243" t="n">
        <x:v>0.060790273556231005</x:v>
      </x:c>
      <x:c r="G54" s="239"/>
      <x:c r="H54" s="239"/>
      <x:c r="I54" s="239"/>
      <x:c r="J54" s="239"/>
      <x:c r="K54" s="239"/>
      <x:c r="L54" s="244" t="str">
        <x:v>PPM Defective</x:v>
      </x:c>
      <x:c r="M54" s="246" t="n">
        <x:v>53250</x:v>
      </x:c>
      <x:c r="N54" s="239"/>
      <x:c r="O54" s="223"/>
    </x:row>
    <x:row r="55">
      <x:c r="A55" s="239"/>
      <x:c r="B55" s="239"/>
      <x:c r="C55" s="239"/>
      <x:c r="D55" s="239"/>
      <x:c r="E55" s="241" t="str">
        <x:v>2026-01-14</x:v>
      </x:c>
      <x:c r="F55" s="243" t="n">
        <x:v>0.04927536231884058</x:v>
      </x:c>
      <x:c r="G55" s="239"/>
      <x:c r="H55" s="239"/>
      <x:c r="I55" s="239"/>
      <x:c r="J55" s="239"/>
      <x:c r="K55" s="239"/>
      <x:c r="L55" s="244" t="str">
        <x:v>Overall Ppk</x:v>
      </x:c>
      <x:c r="M55" s="247" t="n">
        <x:v>0.7912433768997817</x:v>
      </x:c>
      <x:c r="N55" s="239"/>
      <x:c r="O55" s="223"/>
    </x:row>
    <x:row r="56">
      <x:c r="A56" s="239"/>
      <x:c r="B56" s="239"/>
      <x:c r="C56" s="239"/>
      <x:c r="D56" s="239"/>
      <x:c r="E56" s="241" t="str">
        <x:v>2026-01-15</x:v>
      </x:c>
      <x:c r="F56" s="243" t="n">
        <x:v>0.0702247191011236</x:v>
      </x:c>
      <x:c r="G56" s="239"/>
      <x:c r="H56" s="239"/>
      <x:c r="I56" s="239"/>
      <x:c r="J56" s="239"/>
      <x:c r="K56" s="239"/>
      <x:c r="L56" s="244" t="str">
        <x:v>M3 Ppk</x:v>
      </x:c>
      <x:c r="M56" s="247" t="n">
        <x:v>0.7296503759045699</x:v>
      </x:c>
      <x:c r="N56" s="239"/>
      <x:c r="O56" s="223"/>
    </x:row>
    <x:row r="57">
      <x:c r="A57" s="239"/>
      <x:c r="B57" s="239"/>
      <x:c r="C57" s="239"/>
      <x:c r="D57" s="239"/>
      <x:c r="E57" s="241" t="str">
        <x:v>2026-01-16</x:v>
      </x:c>
      <x:c r="F57" s="243" t="n">
        <x:v>0.026392961876832845</x:v>
      </x:c>
      <x:c r="G57" s="239"/>
      <x:c r="H57" s="239"/>
      <x:c r="I57" s="239"/>
      <x:c r="J57" s="239"/>
      <x:c r="K57" s="239"/>
      <x:c r="L57" s="244" t="str">
        <x:v>Gage R&amp;R %</x:v>
      </x:c>
      <x:c r="M57" s="245" t="n">
        <x:v>0.09133712278184088</x:v>
      </x:c>
      <x:c r="N57" s="239"/>
      <x:c r="O57" s="223"/>
    </x:row>
    <x:row r="58">
      <x:c r="E58" s="211" t="str">
        <x:v>2026-01-17</x:v>
      </x:c>
      <x:c r="F58" s="213" t="n">
        <x:v>0.06349206349206349</x:v>
      </x:c>
    </x:row>
    <x:row r="59">
      <x:c r="E59" s="211" t="str">
        <x:v>2026-01-18</x:v>
      </x:c>
      <x:c r="F59" s="213" t="n">
        <x:v>0.04504504504504504</x:v>
      </x:c>
    </x:row>
    <x:row r="60">
      <x:c r="E60" s="211" t="str">
        <x:v>2026-01-19</x:v>
      </x:c>
      <x:c r="F60" s="213" t="n">
        <x:v>0.054878048780487805</x:v>
      </x:c>
    </x:row>
    <x:row r="61">
      <x:c r="E61" s="211" t="str">
        <x:v>2026-01-20</x:v>
      </x:c>
      <x:c r="F61" s="213" t="n">
        <x:v>0.059322033898305086</x:v>
      </x:c>
    </x:row>
    <x:row r="62">
      <x:c r="E62" s="211" t="str">
        <x:v>2026-01-21</x:v>
      </x:c>
      <x:c r="F62" s="213" t="n">
        <x:v>0.05367231638418079</x:v>
      </x:c>
    </x:row>
    <x:row r="63">
      <x:c r="E63" s="211" t="str">
        <x:v>2026-01-22</x:v>
      </x:c>
      <x:c r="F63" s="213" t="n">
        <x:v>0.046242774566473986</x:v>
      </x:c>
    </x:row>
    <x:row r="64">
      <x:c r="E64" s="211" t="str">
        <x:v>2026-01-23</x:v>
      </x:c>
      <x:c r="F64" s="213" t="n">
        <x:v>0.053125</x:v>
      </x:c>
    </x:row>
    <x:row r="65">
      <x:c r="E65" s="211" t="str">
        <x:v>2026-01-24</x:v>
      </x:c>
      <x:c r="F65" s="213" t="n">
        <x:v>0.05387205387205387</x:v>
      </x:c>
    </x:row>
    <x:row r="66">
      <x:c r="E66" s="211" t="str">
        <x:v>2026-01-25</x:v>
      </x:c>
      <x:c r="F66" s="213" t="n">
        <x:v>0.058823529411764705</x:v>
      </x:c>
    </x:row>
    <x:row r="67">
      <x:c r="E67" s="211" t="str">
        <x:v>2026-01-26</x:v>
      </x:c>
      <x:c r="F67" s="213" t="n">
        <x:v>0.04065040650406504</x:v>
      </x:c>
    </x:row>
    <x:row r="68">
      <x:c r="E68" s="211" t="str">
        <x:v>2026-01-27</x:v>
      </x:c>
      <x:c r="F68" s="213" t="n">
        <x:v>0.05325443786982249</x:v>
      </x:c>
    </x:row>
    <x:row r="69">
      <x:c r="E69" s="211" t="str">
        <x:v>2026-01-28</x:v>
      </x:c>
      <x:c r="F69" s="213" t="n">
        <x:v>0.06042296072507553</x:v>
      </x:c>
    </x:row>
    <x:row r="70">
      <x:c r="E70" s="211" t="str">
        <x:v>2026-01-29</x:v>
      </x:c>
      <x:c r="F70" s="213" t="n">
        <x:v>0.05099150141643059</x:v>
      </x:c>
    </x:row>
    <x:row r="71">
      <x:c r="E71" s="211" t="str">
        <x:v>2026-01-30</x:v>
      </x:c>
      <x:c r="F71" s="213" t="n">
        <x:v>0.062146892655367235</x:v>
      </x:c>
    </x:row>
    <x:row r="72">
      <x:c r="E72" s="211" t="str">
        <x:v>2026-01-31</x:v>
      </x:c>
      <x:c r="F72" s="213" t="n">
        <x:v>0.050595238095238096</x:v>
      </x:c>
    </x:row>
    <x:row r="73">
      <x:c r="E73" s="211" t="str">
        <x:v>2026-02-01</x:v>
      </x:c>
      <x:c r="F73" s="213" t="n">
        <x:v>0.06109324758842444</x:v>
      </x:c>
    </x:row>
    <x:row r="74">
      <x:c r="E74" s="211" t="str">
        <x:v>2026-02-02</x:v>
      </x:c>
      <x:c r="F74" s="213" t="n">
        <x:v>0.059602649006622516</x:v>
      </x:c>
    </x:row>
    <x:row r="75">
      <x:c r="E75" s="211" t="str">
        <x:v>2026-02-03</x:v>
      </x:c>
      <x:c r="F75" s="213" t="n">
        <x:v>0.046583850931677016</x:v>
      </x:c>
    </x:row>
    <x:row r="76">
      <x:c r="E76" s="211" t="str">
        <x:v>2026-02-04</x:v>
      </x:c>
      <x:c r="F76" s="213" t="n">
        <x:v>0.04229607250755287</x:v>
      </x:c>
    </x:row>
    <x:row r="77">
      <x:c r="E77" s="211" t="str">
        <x:v>2026-02-05</x:v>
      </x:c>
      <x:c r="F77" s="213" t="n">
        <x:v>0.0529595015576324</x:v>
      </x:c>
    </x:row>
    <x:row r="78">
      <x:c r="E78" s="211" t="str">
        <x:v>2026-02-06</x:v>
      </x:c>
      <x:c r="F78" s="213" t="n">
        <x:v>0.059006211180124224</x:v>
      </x:c>
    </x:row>
    <x:row r="79">
      <x:c r="E79" s="211" t="str">
        <x:v>2026-02-07</x:v>
      </x:c>
      <x:c r="F79" s="213" t="n">
        <x:v>0.04318936877076412</x:v>
      </x:c>
    </x:row>
    <x:row r="80">
      <x:c r="E80" s="211" t="str">
        <x:v>2026-02-08</x:v>
      </x:c>
      <x:c r="F80" s="213" t="n">
        <x:v>0.053125</x:v>
      </x:c>
    </x:row>
    <x:row r="81">
      <x:c r="E81" s="211" t="str">
        <x:v>2026-02-09</x:v>
      </x:c>
      <x:c r="F81" s="213" t="n">
        <x:v>0.04491017964071856</x:v>
      </x:c>
    </x:row>
    <x:row r="82">
      <x:c r="E82" s="211" t="str">
        <x:v>2026-02-10</x:v>
      </x:c>
      <x:c r="F82" s="213" t="n">
        <x:v>0.06060606060606061</x:v>
      </x:c>
    </x:row>
    <x:row r="83">
      <x:c r="E83" s="211" t="str">
        <x:v>2026-02-11</x:v>
      </x:c>
      <x:c r="F83" s="213" t="n">
        <x:v>0.06666666666666667</x:v>
      </x:c>
    </x:row>
    <x:row r="84">
      <x:c r="E84" s="211" t="str">
        <x:v>2026-02-12</x:v>
      </x:c>
      <x:c r="F84" s="213" t="n">
        <x:v>0.07865168539325842</x:v>
      </x:c>
    </x:row>
    <x:row r="85">
      <x:c r="E85" s="211" t="str">
        <x:v>2026-02-13</x:v>
      </x:c>
      <x:c r="F85" s="213" t="n">
        <x:v>0.04154302670623145</x:v>
      </x:c>
    </x:row>
    <x:row r="86">
      <x:c r="E86" s="211" t="str">
        <x:v>2026-02-14</x:v>
      </x:c>
      <x:c r="F86" s="213" t="n">
        <x:v>0.08092485549132948</x:v>
      </x:c>
    </x:row>
    <x:row r="87">
      <x:c r="E87" s="211" t="str">
        <x:v>2026-02-15</x:v>
      </x:c>
      <x:c r="F87" s="213" t="n">
        <x:v>0.050473186119873815</x:v>
      </x:c>
    </x:row>
    <x:row r="88">
      <x:c r="E88" s="211" t="str">
        <x:v>2026-02-16</x:v>
      </x:c>
      <x:c r="F88" s="213" t="n">
        <x:v>0.02857142857142857</x:v>
      </x:c>
    </x:row>
    <x:row r="89">
      <x:c r="E89" s="211" t="str">
        <x:v>2026-02-17</x:v>
      </x:c>
      <x:c r="F89" s="213" t="n">
        <x:v>0.050595238095238096</x:v>
      </x:c>
    </x:row>
    <x:row r="90">
      <x:c r="E90" s="211" t="str">
        <x:v>2026-02-18</x:v>
      </x:c>
      <x:c r="F90" s="213" t="n">
        <x:v>0.05817174515235457</x:v>
      </x:c>
    </x:row>
    <x:row r="91">
      <x:c r="E91" s="211" t="str">
        <x:v>2026-02-19</x:v>
      </x:c>
      <x:c r="F91" s="213" t="n">
        <x:v>0.05405405405405406</x:v>
      </x:c>
    </x:row>
    <x:row r="92">
      <x:c r="E92" s="211" t="str">
        <x:v>2026-02-20</x:v>
      </x:c>
      <x:c r="F92" s="213" t="n">
        <x:v>0.05642633228840126</x:v>
      </x:c>
    </x:row>
    <x:row r="93">
      <x:c r="E93" s="211" t="str">
        <x:v>2026-02-21</x:v>
      </x:c>
      <x:c r="F93" s="213" t="n">
        <x:v>0.03273809523809524</x:v>
      </x:c>
    </x:row>
    <x:row r="94">
      <x:c r="E94" s="211" t="str">
        <x:v>2026-02-22</x:v>
      </x:c>
      <x:c r="F94" s="213" t="n">
        <x:v>0.0718232044198895</x:v>
      </x:c>
    </x:row>
    <x:row r="95">
      <x:c r="E95" s="211" t="str">
        <x:v>2026-02-23</x:v>
      </x:c>
      <x:c r="F95" s="213" t="n">
        <x:v>0.05660377358490566</x:v>
      </x:c>
    </x:row>
    <x:row r="96">
      <x:c r="E96" s="211" t="str">
        <x:v>2026-02-24</x:v>
      </x:c>
      <x:c r="F96" s="213" t="n">
        <x:v>0.03257328990228013</x:v>
      </x:c>
    </x:row>
    <x:row r="97">
      <x:c r="E97" s="211" t="str">
        <x:v>2026-02-25</x:v>
      </x:c>
      <x:c r="F97" s="213" t="n">
        <x:v>0.042735042735042736</x:v>
      </x:c>
    </x:row>
    <x:row r="98">
      <x:c r="E98" s="211" t="str">
        <x:v>2026-02-26</x:v>
      </x:c>
      <x:c r="F98" s="213" t="n">
        <x:v>0.04285714285714286</x:v>
      </x:c>
    </x:row>
    <x:row r="99">
      <x:c r="E99" s="211" t="str">
        <x:v>2026-02-27</x:v>
      </x:c>
      <x:c r="F99" s="213" t="n">
        <x:v>0.061488673139158574</x:v>
      </x:c>
    </x:row>
    <x:row r="100">
      <x:c r="E100" s="211" t="str">
        <x:v>2026-02-28</x:v>
      </x:c>
      <x:c r="F100" s="213" t="n">
        <x:v>0.04335260115606936</x:v>
      </x:c>
    </x:row>
    <x:row r="101">
      <x:c r="E101" s="211" t="str">
        <x:v>2026-03-01</x:v>
      </x:c>
      <x:c r="F101" s="213" t="n">
        <x:v>0.058823529411764705</x:v>
      </x:c>
    </x:row>
    <x:row r="102">
      <x:c r="E102" s="211" t="str">
        <x:v>2026-03-02</x:v>
      </x:c>
      <x:c r="F102" s="213" t="n">
        <x:v>0.06489675516224189</x:v>
      </x:c>
    </x:row>
    <x:row r="103">
      <x:c r="E103" s="211" t="str">
        <x:v>2026-03-03</x:v>
      </x:c>
      <x:c r="F103" s="213" t="n">
        <x:v>0.053125</x:v>
      </x:c>
    </x:row>
    <x:row r="104">
      <x:c r="E104" s="211" t="str">
        <x:v>2026-03-04</x:v>
      </x:c>
      <x:c r="F104" s="213" t="n">
        <x:v>0.05099150141643059</x:v>
      </x:c>
    </x:row>
    <x:row r="105">
      <x:c r="E105" s="211" t="str">
        <x:v>2026-03-05</x:v>
      </x:c>
      <x:c r="F105" s="213" t="n">
        <x:v>0.023054755043227664</x:v>
      </x:c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M5:N5"/>
    <x:mergeCell ref="M6:N8"/>
    <x:mergeCell ref="A44:C44"/>
    <x:mergeCell ref="E44:F44"/>
    <x:mergeCell ref="H44:J44"/>
    <x:mergeCell ref="L44:O44"/>
    <x:mergeCell ref="L52:M52"/>
    <x:mergeCell ref="G26:N26"/>
    <x:mergeCell ref="G35:N36"/>
    <x:mergeCell ref="G38:N40"/>
  </x:mergeCells>
  <x:conditionalFormatting sqref="M46:O49">
    <x:cfRule type="colorScale" priority="1">
      <x:colorScale>
        <x:cfvo type="min"/>
        <x:cfvo type="percentile" val="50"/>
        <x:cfvo type="max"/>
        <x:color rgb="FFE2F0D9"/>
        <x:color rgb="FFFFD966"/>
        <x:color rgb="FFF4B183"/>
      </x:colorScale>
    </x:cfRule>
  </x:conditionalFormatting>
  <x:conditionalFormatting sqref="H29:J32">
    <x:cfRule type="colorScale" priority="2">
      <x:colorScale>
        <x:cfvo type="min"/>
        <x:cfvo type="percentile" val="50"/>
        <x:cfvo type="max"/>
        <x:color rgb="FFE2F0D9"/>
        <x:color rgb="FFFFD966"/>
        <x:color rgb="FFF4B183"/>
      </x:colorScale>
    </x:cfRule>
  </x:conditionalFormatting>
  <x:pageMargins left="0.7" right="0.7" top="0.75" bottom="0.75" header="0.3" footer="0.3"/>
  <x:drawing xmlns:r="http://schemas.openxmlformats.org/officeDocument/2006/relationships" r:id="R375ed7d563e84d6c"/>
</x:worksheet>
</file>